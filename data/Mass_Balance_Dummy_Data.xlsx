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rmishra\Desktop\"/>
    </mc:Choice>
  </mc:AlternateContent>
  <xr:revisionPtr revIDLastSave="0" documentId="13_ncr:1_{9B98CA12-0715-4FF3-88C9-89EA323C4A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N10" i="1"/>
  <c r="M10" i="1"/>
  <c r="N8" i="1" l="1"/>
  <c r="M8" i="1"/>
  <c r="N9" i="1"/>
  <c r="M9" i="1"/>
  <c r="N7" i="1"/>
  <c r="M7" i="1"/>
  <c r="N16" i="1" l="1"/>
  <c r="M16" i="1"/>
  <c r="N15" i="1"/>
  <c r="M15" i="1"/>
  <c r="N13" i="1"/>
  <c r="M13" i="1"/>
  <c r="M14" i="1"/>
  <c r="N14" i="1"/>
  <c r="M11" i="1"/>
  <c r="N11" i="1"/>
  <c r="J6" i="1" l="1"/>
  <c r="N6" i="1" s="1"/>
  <c r="J5" i="1"/>
  <c r="N5" i="1" s="1"/>
  <c r="J4" i="1"/>
  <c r="N4" i="1" s="1"/>
  <c r="C4" i="1"/>
  <c r="G4" i="1" s="1"/>
  <c r="G18" i="1" s="1"/>
  <c r="N18" i="1" l="1"/>
  <c r="M4" i="1"/>
  <c r="M5" i="1"/>
  <c r="M6" i="1"/>
  <c r="F4" i="1"/>
  <c r="F18" i="1" s="1"/>
  <c r="M18" i="1" l="1"/>
</calcChain>
</file>

<file path=xl/sharedStrings.xml><?xml version="1.0" encoding="utf-8"?>
<sst xmlns="http://schemas.openxmlformats.org/spreadsheetml/2006/main" count="31" uniqueCount="25">
  <si>
    <t>Milk Reception</t>
  </si>
  <si>
    <t>Fat</t>
  </si>
  <si>
    <t>SNF</t>
  </si>
  <si>
    <t>in L</t>
  </si>
  <si>
    <t>in Kg</t>
  </si>
  <si>
    <t>kg Fat</t>
  </si>
  <si>
    <t>kg SNF</t>
  </si>
  <si>
    <t>Liquid Milk- Toned</t>
  </si>
  <si>
    <t>Input Mass</t>
  </si>
  <si>
    <t>Output Mass</t>
  </si>
  <si>
    <t>Paneer</t>
  </si>
  <si>
    <t>Ghee</t>
  </si>
  <si>
    <t>Curd Cup</t>
  </si>
  <si>
    <t>Surplus Butter</t>
  </si>
  <si>
    <t>Milk</t>
  </si>
  <si>
    <t>Milk/ Product</t>
  </si>
  <si>
    <t>Surplus SNF for conversion to SMP</t>
  </si>
  <si>
    <t>Ice-cream (to be shifted from old plant)</t>
  </si>
  <si>
    <t>Curd Pouch (WMC)</t>
  </si>
  <si>
    <t>Liquid Milk- Premium/ Cow</t>
  </si>
  <si>
    <t>Liquid Milk- Gold Plus</t>
  </si>
  <si>
    <t>Butter-milk</t>
  </si>
  <si>
    <t>Lassi</t>
  </si>
  <si>
    <t>Medium fat Paneer</t>
  </si>
  <si>
    <t>Mass Balance- Dummy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</si>
</sst>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5" fontId="0" fillId="0" borderId="0" xfId="1" applyNumberFormat="1" applyFont="1"/>
    <xf numFmtId="0" fontId="3" fillId="0" borderId="0" xfId="0" applyFont="1"/>
    <xf numFmtId="165" fontId="3" fillId="0" borderId="0" xfId="1" applyNumberFormat="1" applyFont="1"/>
    <xf numFmtId="9" fontId="3" fillId="0" borderId="0" xfId="2" applyFont="1"/>
    <xf numFmtId="0" fontId="3" fillId="0" borderId="1" xfId="0" applyFont="1" applyBorder="1"/>
    <xf numFmtId="165" fontId="3" fillId="0" borderId="1" xfId="1" applyNumberFormat="1" applyFont="1" applyBorder="1"/>
    <xf numFmtId="3" fontId="3" fillId="0" borderId="1" xfId="0" applyNumberFormat="1" applyFont="1" applyBorder="1"/>
    <xf numFmtId="9" fontId="3" fillId="0" borderId="1" xfId="2" applyFont="1" applyBorder="1"/>
    <xf numFmtId="164" fontId="3" fillId="0" borderId="1" xfId="2" applyNumberFormat="1" applyFont="1" applyBorder="1"/>
    <xf numFmtId="43" fontId="3" fillId="0" borderId="1" xfId="0" applyNumberFormat="1" applyFont="1" applyBorder="1"/>
    <xf numFmtId="0" fontId="2" fillId="2" borderId="1" xfId="0" applyFont="1" applyFill="1" applyBorder="1"/>
    <xf numFmtId="165" fontId="2" fillId="2" borderId="1" xfId="1" applyNumberFormat="1" applyFont="1" applyFill="1" applyBorder="1"/>
    <xf numFmtId="0" fontId="3" fillId="0" borderId="1" xfId="0" applyFont="1" applyBorder="1" applyAlignment="1">
      <alignment wrapText="1"/>
    </xf>
    <xf numFmtId="165" fontId="2" fillId="3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165" fontId="3" fillId="0" borderId="0" xfId="0" applyNumberFormat="1" applyFont="1"/>
    <xf numFmtId="9" fontId="3" fillId="0" borderId="1" xfId="2" applyFont="1" applyFill="1" applyBorder="1"/>
    <xf numFmtId="164" fontId="3" fillId="0" borderId="1" xfId="2" applyNumberFormat="1" applyFont="1" applyFill="1" applyBorder="1"/>
    <xf numFmtId="0" fontId="3" fillId="0" borderId="1" xfId="0" applyFont="1" applyFill="1" applyBorder="1"/>
    <xf numFmtId="165" fontId="3" fillId="0" borderId="1" xfId="1" applyNumberFormat="1" applyFont="1" applyFill="1" applyBorder="1"/>
    <xf numFmtId="165" fontId="3" fillId="0" borderId="1" xfId="0" applyNumberFormat="1" applyFont="1" applyFill="1" applyBorder="1"/>
    <xf numFmtId="165" fontId="0" fillId="0" borderId="1" xfId="1" applyNumberFormat="1" applyFont="1" applyFill="1" applyBorder="1"/>
    <xf numFmtId="165" fontId="3" fillId="0" borderId="2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90" zoomScaleNormal="9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F10" sqref="F10"/>
    </sheetView>
  </sheetViews>
  <sheetFormatPr defaultRowHeight="15" x14ac:dyDescent="0.25"/>
  <cols>
    <col min="1" max="1" width="18" customWidth="1"/>
    <col min="2" max="2" width="10.42578125" bestFit="1" customWidth="1"/>
    <col min="3" max="3" width="11.7109375" customWidth="1"/>
    <col min="4" max="5" width="9.28515625" bestFit="1" customWidth="1"/>
    <col min="6" max="6" width="11.5703125" customWidth="1"/>
    <col min="7" max="7" width="11.42578125" customWidth="1"/>
    <col min="8" max="8" width="29.140625" style="17" customWidth="1"/>
    <col min="9" max="9" width="13" style="1" customWidth="1"/>
    <col min="10" max="10" width="14.28515625" customWidth="1"/>
    <col min="11" max="12" width="9.28515625" bestFit="1" customWidth="1"/>
    <col min="13" max="13" width="13" customWidth="1"/>
    <col min="14" max="14" width="13.140625" customWidth="1"/>
    <col min="15" max="15" width="14" customWidth="1"/>
  </cols>
  <sheetData>
    <row r="1" spans="1:14" ht="17.25" customHeight="1" x14ac:dyDescent="0.25">
      <c r="A1" s="28" t="s">
        <v>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6.5" customHeight="1" x14ac:dyDescent="0.25">
      <c r="A2" s="27" t="s">
        <v>8</v>
      </c>
      <c r="B2" s="27"/>
      <c r="C2" s="27"/>
      <c r="D2" s="27"/>
      <c r="E2" s="27"/>
      <c r="F2" s="27"/>
      <c r="G2" s="27"/>
      <c r="H2" s="27" t="s">
        <v>9</v>
      </c>
      <c r="I2" s="27"/>
      <c r="J2" s="27"/>
      <c r="K2" s="27"/>
      <c r="L2" s="27"/>
      <c r="M2" s="27"/>
      <c r="N2" s="27"/>
    </row>
    <row r="3" spans="1:14" ht="17.25" customHeight="1" x14ac:dyDescent="0.25">
      <c r="A3" s="11" t="s">
        <v>14</v>
      </c>
      <c r="B3" s="11" t="s">
        <v>3</v>
      </c>
      <c r="C3" s="11" t="s">
        <v>4</v>
      </c>
      <c r="D3" s="11" t="s">
        <v>1</v>
      </c>
      <c r="E3" s="11" t="s">
        <v>2</v>
      </c>
      <c r="F3" s="11" t="s">
        <v>5</v>
      </c>
      <c r="G3" s="11" t="s">
        <v>6</v>
      </c>
      <c r="H3" s="15" t="s">
        <v>15</v>
      </c>
      <c r="I3" s="12" t="s">
        <v>3</v>
      </c>
      <c r="J3" s="11" t="s">
        <v>4</v>
      </c>
      <c r="K3" s="11" t="s">
        <v>1</v>
      </c>
      <c r="L3" s="11" t="s">
        <v>2</v>
      </c>
      <c r="M3" s="11" t="s">
        <v>5</v>
      </c>
      <c r="N3" s="11" t="s">
        <v>6</v>
      </c>
    </row>
    <row r="4" spans="1:14" x14ac:dyDescent="0.25">
      <c r="A4" s="5" t="s">
        <v>0</v>
      </c>
      <c r="B4" s="7">
        <v>500000</v>
      </c>
      <c r="C4" s="7">
        <f>1.03*B4</f>
        <v>515000</v>
      </c>
      <c r="D4" s="20">
        <v>0.04</v>
      </c>
      <c r="E4" s="21">
        <v>8.2000000000000003E-2</v>
      </c>
      <c r="F4" s="6">
        <f>D4*C4</f>
        <v>20600</v>
      </c>
      <c r="G4" s="6">
        <f>E4*C4</f>
        <v>42230</v>
      </c>
      <c r="H4" s="13" t="s">
        <v>7</v>
      </c>
      <c r="I4" s="23">
        <v>5000</v>
      </c>
      <c r="J4" s="24">
        <f>1.03*I4</f>
        <v>5150</v>
      </c>
      <c r="K4" s="21">
        <v>0.03</v>
      </c>
      <c r="L4" s="9">
        <v>8.5000000000000006E-2</v>
      </c>
      <c r="M4" s="10">
        <f>J4*K4</f>
        <v>154.5</v>
      </c>
      <c r="N4" s="10">
        <f>J4*L4</f>
        <v>437.75000000000006</v>
      </c>
    </row>
    <row r="5" spans="1:14" ht="30" x14ac:dyDescent="0.25">
      <c r="A5" s="5"/>
      <c r="B5" s="5"/>
      <c r="C5" s="5"/>
      <c r="D5" s="22"/>
      <c r="E5" s="22"/>
      <c r="F5" s="5"/>
      <c r="G5" s="5"/>
      <c r="H5" s="13" t="s">
        <v>19</v>
      </c>
      <c r="I5" s="23">
        <v>100000</v>
      </c>
      <c r="J5" s="24">
        <f t="shared" ref="J5:J6" si="0">1.03*I5</f>
        <v>103000</v>
      </c>
      <c r="K5" s="21">
        <v>3.5000000000000003E-2</v>
      </c>
      <c r="L5" s="9">
        <v>8.5000000000000006E-2</v>
      </c>
      <c r="M5" s="10">
        <f t="shared" ref="M5:M14" si="1">J5*K5</f>
        <v>3605.0000000000005</v>
      </c>
      <c r="N5" s="10">
        <f t="shared" ref="N5:N14" si="2">J5*L5</f>
        <v>8755</v>
      </c>
    </row>
    <row r="6" spans="1:14" x14ac:dyDescent="0.25">
      <c r="A6" s="5"/>
      <c r="B6" s="5"/>
      <c r="C6" s="5"/>
      <c r="D6" s="5"/>
      <c r="E6" s="5"/>
      <c r="F6" s="5"/>
      <c r="G6" s="5"/>
      <c r="H6" s="13" t="s">
        <v>20</v>
      </c>
      <c r="I6" s="23">
        <v>25000</v>
      </c>
      <c r="J6" s="24">
        <f t="shared" si="0"/>
        <v>25750</v>
      </c>
      <c r="K6" s="21">
        <v>4.4999999999999998E-2</v>
      </c>
      <c r="L6" s="9">
        <v>8.5000000000000006E-2</v>
      </c>
      <c r="M6" s="10">
        <f t="shared" si="1"/>
        <v>1158.75</v>
      </c>
      <c r="N6" s="10">
        <f t="shared" si="2"/>
        <v>2188.75</v>
      </c>
    </row>
    <row r="7" spans="1:14" x14ac:dyDescent="0.25">
      <c r="A7" s="5"/>
      <c r="B7" s="5"/>
      <c r="C7" s="5"/>
      <c r="D7" s="5"/>
      <c r="E7" s="5"/>
      <c r="F7" s="5"/>
      <c r="G7" s="5"/>
      <c r="H7" s="13" t="s">
        <v>18</v>
      </c>
      <c r="I7" s="25"/>
      <c r="J7" s="23">
        <v>10000</v>
      </c>
      <c r="K7" s="21">
        <v>0.03</v>
      </c>
      <c r="L7" s="9">
        <v>0.115</v>
      </c>
      <c r="M7" s="10">
        <f t="shared" ref="M7:M10" si="3">J7*K7</f>
        <v>300</v>
      </c>
      <c r="N7" s="10">
        <f t="shared" ref="N7:N10" si="4">J7*L7</f>
        <v>1150</v>
      </c>
    </row>
    <row r="8" spans="1:14" x14ac:dyDescent="0.25">
      <c r="A8" s="5"/>
      <c r="B8" s="5"/>
      <c r="C8" s="5"/>
      <c r="D8" s="5"/>
      <c r="E8" s="5"/>
      <c r="F8" s="5"/>
      <c r="G8" s="5"/>
      <c r="H8" s="13" t="s">
        <v>12</v>
      </c>
      <c r="I8" s="25"/>
      <c r="J8" s="23">
        <v>5000</v>
      </c>
      <c r="K8" s="21">
        <v>3.5000000000000003E-2</v>
      </c>
      <c r="L8" s="9">
        <v>0.14000000000000001</v>
      </c>
      <c r="M8" s="10">
        <f>J8*K8</f>
        <v>175.00000000000003</v>
      </c>
      <c r="N8" s="10">
        <f>J8*L8</f>
        <v>700.00000000000011</v>
      </c>
    </row>
    <row r="9" spans="1:14" x14ac:dyDescent="0.25">
      <c r="A9" s="5"/>
      <c r="B9" s="5"/>
      <c r="C9" s="5"/>
      <c r="D9" s="5"/>
      <c r="E9" s="5"/>
      <c r="F9" s="5"/>
      <c r="G9" s="5"/>
      <c r="H9" s="13" t="s">
        <v>22</v>
      </c>
      <c r="I9" s="25"/>
      <c r="J9" s="23">
        <v>5000</v>
      </c>
      <c r="K9" s="21">
        <v>0.02</v>
      </c>
      <c r="L9" s="9">
        <v>0.16</v>
      </c>
      <c r="M9" s="10">
        <f t="shared" si="3"/>
        <v>100</v>
      </c>
      <c r="N9" s="10">
        <f t="shared" si="4"/>
        <v>800</v>
      </c>
    </row>
    <row r="10" spans="1:14" x14ac:dyDescent="0.25">
      <c r="A10" s="5"/>
      <c r="B10" s="5"/>
      <c r="C10" s="5"/>
      <c r="D10" s="5"/>
      <c r="E10" s="5"/>
      <c r="F10" s="5"/>
      <c r="G10" s="5"/>
      <c r="H10" s="13" t="s">
        <v>21</v>
      </c>
      <c r="I10" s="25"/>
      <c r="J10" s="23">
        <v>3000</v>
      </c>
      <c r="K10" s="21">
        <v>0.01</v>
      </c>
      <c r="L10" s="9">
        <v>0.11</v>
      </c>
      <c r="M10" s="10">
        <f t="shared" si="3"/>
        <v>30</v>
      </c>
      <c r="N10" s="10">
        <f t="shared" si="4"/>
        <v>330</v>
      </c>
    </row>
    <row r="11" spans="1:14" x14ac:dyDescent="0.25">
      <c r="A11" s="5"/>
      <c r="B11" s="5"/>
      <c r="C11" s="5"/>
      <c r="D11" s="9"/>
      <c r="E11" s="9"/>
      <c r="F11" s="5"/>
      <c r="G11" s="5"/>
      <c r="H11" s="13" t="s">
        <v>10</v>
      </c>
      <c r="I11" s="23"/>
      <c r="J11" s="23">
        <v>1000</v>
      </c>
      <c r="K11" s="21">
        <v>0.25</v>
      </c>
      <c r="L11" s="9">
        <v>0.25</v>
      </c>
      <c r="M11" s="5">
        <f t="shared" si="1"/>
        <v>250</v>
      </c>
      <c r="N11" s="5">
        <f t="shared" si="2"/>
        <v>250</v>
      </c>
    </row>
    <row r="12" spans="1:14" x14ac:dyDescent="0.25">
      <c r="A12" s="5"/>
      <c r="B12" s="5"/>
      <c r="C12" s="5"/>
      <c r="D12" s="9"/>
      <c r="E12" s="9"/>
      <c r="F12" s="5"/>
      <c r="G12" s="5"/>
      <c r="H12" s="13" t="s">
        <v>23</v>
      </c>
      <c r="I12" s="23"/>
      <c r="J12" s="23">
        <v>1000</v>
      </c>
      <c r="K12" s="21">
        <v>0.2</v>
      </c>
      <c r="L12" s="9">
        <v>0.23</v>
      </c>
      <c r="M12" s="5">
        <f t="shared" ref="M12" si="5">J12*K12</f>
        <v>200</v>
      </c>
      <c r="N12" s="5">
        <f t="shared" ref="N12" si="6">J12*L12</f>
        <v>230</v>
      </c>
    </row>
    <row r="13" spans="1:14" x14ac:dyDescent="0.25">
      <c r="A13" s="5"/>
      <c r="B13" s="5"/>
      <c r="C13" s="5"/>
      <c r="D13" s="5"/>
      <c r="E13" s="5"/>
      <c r="F13" s="5"/>
      <c r="G13" s="5"/>
      <c r="H13" s="13" t="s">
        <v>11</v>
      </c>
      <c r="I13" s="23"/>
      <c r="J13" s="23">
        <v>2000</v>
      </c>
      <c r="K13" s="21">
        <v>0.98</v>
      </c>
      <c r="L13" s="9">
        <v>0</v>
      </c>
      <c r="M13" s="5">
        <f>J13*K13</f>
        <v>1960</v>
      </c>
      <c r="N13" s="5">
        <f>J13*L13</f>
        <v>0</v>
      </c>
    </row>
    <row r="14" spans="1:14" ht="30" x14ac:dyDescent="0.25">
      <c r="A14" s="5"/>
      <c r="B14" s="5"/>
      <c r="C14" s="5"/>
      <c r="D14" s="5"/>
      <c r="E14" s="5"/>
      <c r="F14" s="5"/>
      <c r="G14" s="5"/>
      <c r="H14" s="13" t="s">
        <v>17</v>
      </c>
      <c r="I14" s="23"/>
      <c r="J14" s="23">
        <v>3000</v>
      </c>
      <c r="K14" s="21">
        <v>0.12</v>
      </c>
      <c r="L14" s="9">
        <v>0.12</v>
      </c>
      <c r="M14" s="5">
        <f t="shared" si="1"/>
        <v>360</v>
      </c>
      <c r="N14" s="5">
        <f t="shared" si="2"/>
        <v>360</v>
      </c>
    </row>
    <row r="15" spans="1:14" x14ac:dyDescent="0.25">
      <c r="A15" s="5"/>
      <c r="B15" s="5"/>
      <c r="C15" s="5"/>
      <c r="D15" s="5"/>
      <c r="E15" s="5"/>
      <c r="F15" s="5"/>
      <c r="G15" s="5"/>
      <c r="H15" s="18" t="s">
        <v>13</v>
      </c>
      <c r="I15" s="25"/>
      <c r="J15" s="26">
        <v>15008</v>
      </c>
      <c r="K15" s="21">
        <v>0.82</v>
      </c>
      <c r="L15" s="9">
        <v>0</v>
      </c>
      <c r="M15" s="5">
        <f t="shared" ref="M15" si="7">J15*K15</f>
        <v>12306.56</v>
      </c>
      <c r="N15" s="5">
        <f t="shared" ref="N15" si="8">J15*L15</f>
        <v>0</v>
      </c>
    </row>
    <row r="16" spans="1:14" ht="30" x14ac:dyDescent="0.25">
      <c r="A16" s="5"/>
      <c r="B16" s="5"/>
      <c r="C16" s="5"/>
      <c r="D16" s="5"/>
      <c r="E16" s="5"/>
      <c r="F16" s="5"/>
      <c r="G16" s="5"/>
      <c r="H16" s="13" t="s">
        <v>16</v>
      </c>
      <c r="I16" s="23"/>
      <c r="J16" s="23">
        <v>28009</v>
      </c>
      <c r="K16" s="21">
        <v>0</v>
      </c>
      <c r="L16" s="9">
        <v>0.96499999999999997</v>
      </c>
      <c r="M16" s="5">
        <f t="shared" ref="M16" si="9">J16*K16</f>
        <v>0</v>
      </c>
      <c r="N16" s="5">
        <f t="shared" ref="N16" si="10">J16*L16</f>
        <v>27028.684999999998</v>
      </c>
    </row>
    <row r="17" spans="1:14" x14ac:dyDescent="0.25">
      <c r="A17" s="5"/>
      <c r="B17" s="5"/>
      <c r="C17" s="5"/>
      <c r="D17" s="5"/>
      <c r="E17" s="5"/>
      <c r="F17" s="5"/>
      <c r="G17" s="5"/>
      <c r="H17" s="13"/>
      <c r="I17" s="6"/>
      <c r="J17" s="5"/>
      <c r="K17" s="9"/>
      <c r="L17" s="9"/>
      <c r="M17" s="5"/>
      <c r="N17" s="5"/>
    </row>
    <row r="18" spans="1:14" x14ac:dyDescent="0.25">
      <c r="A18" s="5"/>
      <c r="B18" s="5"/>
      <c r="C18" s="5"/>
      <c r="D18" s="5"/>
      <c r="E18" s="5"/>
      <c r="F18" s="14">
        <f>SUM(F4:F16)</f>
        <v>20600</v>
      </c>
      <c r="G18" s="14">
        <f>SUM(G4:G16)</f>
        <v>42230</v>
      </c>
      <c r="H18" s="13"/>
      <c r="I18" s="6"/>
      <c r="J18" s="5"/>
      <c r="K18" s="8"/>
      <c r="L18" s="8"/>
      <c r="M18" s="14">
        <f>SUM(M4:M16)</f>
        <v>20599.809999999998</v>
      </c>
      <c r="N18" s="14">
        <f>SUM(N4:N16)</f>
        <v>42230.184999999998</v>
      </c>
    </row>
    <row r="19" spans="1:14" x14ac:dyDescent="0.25">
      <c r="A19" s="2"/>
      <c r="B19" s="2"/>
      <c r="C19" s="2"/>
      <c r="D19" s="2"/>
      <c r="E19" s="2"/>
      <c r="F19" s="2"/>
      <c r="G19" s="2"/>
      <c r="H19" s="16"/>
      <c r="I19" s="3"/>
      <c r="J19" s="2"/>
      <c r="K19" s="4"/>
      <c r="L19" s="4"/>
      <c r="M19" s="19"/>
      <c r="N19" s="19"/>
    </row>
    <row r="20" spans="1:14" x14ac:dyDescent="0.25">
      <c r="A20" s="2"/>
      <c r="B20" s="2"/>
      <c r="C20" s="2"/>
      <c r="D20" s="2"/>
      <c r="E20" s="2"/>
      <c r="F20" s="2"/>
      <c r="G20" s="2"/>
      <c r="H20" s="16"/>
      <c r="I20" s="3"/>
      <c r="J20" s="2"/>
      <c r="K20" s="2"/>
      <c r="L20" s="2"/>
      <c r="M20" s="2"/>
      <c r="N20" s="2"/>
    </row>
  </sheetData>
  <mergeCells count="3">
    <mergeCell ref="A2:G2"/>
    <mergeCell ref="H2:N2"/>
    <mergeCell ref="A1:N1"/>
  </mergeCell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srmishra</dc:creator>
  <cp:lastModifiedBy>Soumya Ranjan Mishra</cp:lastModifiedBy>
  <cp:lastPrinted>2026-05-06T06:40:54Z</cp:lastPrinted>
  <dcterms:created xsi:type="dcterms:W3CDTF">2015-06-05T18:17:20Z</dcterms:created>
  <dcterms:modified xsi:type="dcterms:W3CDTF">2026-09-15T07:53:59Z</dcterms:modified>
</cp:coreProperties>
</file>