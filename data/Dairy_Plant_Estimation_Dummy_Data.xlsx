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mishra\Desktop\"/>
    </mc:Choice>
  </mc:AlternateContent>
  <xr:revisionPtr revIDLastSave="0" documentId="13_ncr:1_{FD3C2404-0E45-4FBA-86EB-C286E30C0B57}" xr6:coauthVersionLast="47" xr6:coauthVersionMax="47" xr10:uidLastSave="{00000000-0000-0000-0000-000000000000}"/>
  <bookViews>
    <workbookView xWindow="-120" yWindow="-120" windowWidth="20730" windowHeight="11160" tabRatio="702" firstSheet="4" activeTab="4" xr2:uid="{00000000-000D-0000-FFFF-FFFF00000000}"/>
  </bookViews>
  <sheets>
    <sheet name="Design criteria" sheetId="11" state="hidden" r:id="rId1"/>
    <sheet name="Sheet1" sheetId="4" state="hidden" r:id="rId2"/>
    <sheet name="civil cost est" sheetId="9" state="hidden" r:id="rId3"/>
    <sheet name="COST EST. - CIVIL" sheetId="2" state="hidden" r:id="rId4"/>
    <sheet name="Summary of Cost Est." sheetId="1" r:id="rId5"/>
    <sheet name="Civil Cost Est." sheetId="14" r:id="rId6"/>
    <sheet name="Eqpt. Cost Est." sheetId="15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015NBSA182F304SORF150LB">[1]Sheet1!$C$27</definedName>
    <definedName name="_100">#REF!</definedName>
    <definedName name="_125">#REF!</definedName>
    <definedName name="_150">#REF!</definedName>
    <definedName name="_15NBSA182F304SORF150LB">[1]Sheet1!$C$27</definedName>
    <definedName name="_20NBSA182F304SORF150LB">[1]Sheet1!$C$28</definedName>
    <definedName name="_25">#REF!</definedName>
    <definedName name="_25NBSA182F304SORF150LB">[1]Sheet1!$C$29</definedName>
    <definedName name="_32">#REF!</definedName>
    <definedName name="_32NBSA182F304SORF150LB">[1]Sheet1!$C$30</definedName>
    <definedName name="_40">#REF!</definedName>
    <definedName name="_50">#REF!</definedName>
    <definedName name="_65">#REF!</definedName>
    <definedName name="_80">#REF!</definedName>
    <definedName name="_Dist_Bin" hidden="1">'[2]LEAKY P DUMP'!#REF!</definedName>
    <definedName name="_Dist_Values" hidden="1">'[2]LEAKY P DUMP'!#REF!</definedName>
    <definedName name="_xlnm._FilterDatabase" localSheetId="6" hidden="1">'Eqpt. Cost Est.'!$E$1:$E$422</definedName>
    <definedName name="_MatInverse_In" hidden="1">'[2]LEAKY P DUMP'!#REF!</definedName>
    <definedName name="_MatInverse_Out" hidden="1">'[2]LEAKY P DUMP'!#REF!</definedName>
    <definedName name="A">#N/A</definedName>
    <definedName name="aa">#N/A</definedName>
    <definedName name="aaaaaaaaa">[1]Sheet1!$C$27</definedName>
    <definedName name="AAAAAAAAAAA">[1]Sheet1!$C$29</definedName>
    <definedName name="aaaaaaaaaaaaaaaa">[3]Sheet1!$C$30</definedName>
    <definedName name="aaaaaaaaaaaaaaaaa">#REF!</definedName>
    <definedName name="AAAAAAAAAASSSSSSSSSSS" hidden="1">'[4]LEAKY P DUMP'!#REF!</definedName>
    <definedName name="aasss">[1]Sheet1!$C$28</definedName>
    <definedName name="asssss">[1]Sheet1!$C$29</definedName>
    <definedName name="AWSSSSSS">[1]Sheet1!$C$30</definedName>
    <definedName name="B">#N/A</definedName>
    <definedName name="bbb">#N/A</definedName>
    <definedName name="dddddddddddddd" hidden="1">'[5]1000 LTR'!#REF!</definedName>
    <definedName name="DDDDDDDDDDDDDDD">[6]Sheet1!$C$29</definedName>
    <definedName name="dhaval" hidden="1">'[4]LEAKY P DUMP'!#REF!</definedName>
    <definedName name="EEEEEEEEEE" hidden="1">'[4]LEAKY P DUMP'!#REF!</definedName>
    <definedName name="EEEEEEEEEEEEECCCCCCCCC" hidden="1">'[5]1000 LTR'!#REF!</definedName>
    <definedName name="electrical">#REF!</definedName>
    <definedName name="FFFFSSSSSSSSSSSSSSSSSSS">[1]Sheet1!$C$29</definedName>
    <definedName name="hhhhhhhhhhha">[3]Sheet1!$C$27</definedName>
    <definedName name="kkkkkkkkkkkkkkk">[1]Sheet1!$C$30</definedName>
    <definedName name="MS_Bend_c_class_100">"SS Fittings IP"</definedName>
    <definedName name="_xlnm.Print_Area" localSheetId="2">'civil cost est'!$A$1:$H$80</definedName>
    <definedName name="_xlnm.Print_Area" localSheetId="5">'Civil Cost Est.'!$A$1:$I$64</definedName>
    <definedName name="_xlnm.Print_Area" localSheetId="0">'Design criteria'!$A$1:$F$37</definedName>
    <definedName name="_xlnm.Print_Area" localSheetId="6">'Eqpt. Cost Est.'!$A$1:$J$408</definedName>
    <definedName name="_xlnm.Print_Area" localSheetId="4">'Summary of Cost Est.'!$A$1:$D$31</definedName>
    <definedName name="_xlnm.Print_Area">#REF!</definedName>
    <definedName name="PRINT_AREA_MI">#REF!</definedName>
    <definedName name="_xlnm.Print_Titles" localSheetId="5">'Civil Cost Est.'!$1:$3</definedName>
    <definedName name="_xlnm.Print_Titles" localSheetId="6">'Eqpt. Cost Est.'!$3:$3</definedName>
    <definedName name="_xlnm.Print_Titles">#N/A</definedName>
    <definedName name="PRINT_TITLES_MI">#N/A</definedName>
    <definedName name="Q">#N/A</definedName>
    <definedName name="qqqqqqqqqqqq">#REF!</definedName>
    <definedName name="SSSSSSD">[1]Sheet1!$C$27</definedName>
    <definedName name="sssssssss" hidden="1">'[5]1000 LTR'!#REF!</definedName>
    <definedName name="SSSSSSSSSSE" hidden="1">'[7]LEAKY P DUMP'!#REF!</definedName>
    <definedName name="SSSSSSSSSSS" hidden="1">'[5]1000 LTR'!#REF!</definedName>
    <definedName name="SSSSSSSSSSSSSS">[6]Sheet1!$C$28</definedName>
    <definedName name="SSSSSXXXXXXX" hidden="1">'[4]LEAKY P DUMP'!#REF!</definedName>
    <definedName name="vmst">[8]Sheet1!$C$27</definedName>
    <definedName name="XXXXXX">[1]Sheet1!$C$28</definedName>
    <definedName name="XXXXXXX" hidden="1">'[4]LEAKY P DUMP'!#REF!</definedName>
    <definedName name="XXXXXXXXS" hidden="1">'[5]1000 LTR'!#REF!</definedName>
    <definedName name="xxxxxxxxx">[6]Sheet1!$C$29</definedName>
    <definedName name="XXXXXXXXXXX">[6]Sheet1!$C$29</definedName>
    <definedName name="xxxxxxxxxxxx">[3]Sheet1!$C$29</definedName>
    <definedName name="XXXXXXXXXXXXXXXF">[6]Sheet1!$C$30</definedName>
    <definedName name="XXXXXXXXXXXXXXXX" hidden="1">'[7]LEAKY P DUMP'!#REF!</definedName>
    <definedName name="XXXXXXXXXXXXXXXXX">[1]Sheet1!$C$28</definedName>
    <definedName name="XXXXXXXXXXXXXXXXXA" hidden="1">'[5]1000 LTR'!#REF!</definedName>
    <definedName name="XXXXXXYYYYYYYYY" hidden="1">'[4]LEAKY P DUMP'!#REF!</definedName>
    <definedName name="xxyyyyyyyyy">#REF!</definedName>
    <definedName name="ZZZZZZZZZXXXXXXXXXXXXXXXXXXXXXXXXXX">[1]Sheet1!$C$30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42" i="15" l="1"/>
  <c r="I230" i="15"/>
  <c r="I231" i="15"/>
  <c r="I290" i="15"/>
  <c r="I229" i="15" l="1"/>
  <c r="I241" i="15"/>
  <c r="I240" i="15"/>
  <c r="I239" i="15"/>
  <c r="I238" i="15"/>
  <c r="I237" i="15"/>
  <c r="I236" i="15"/>
  <c r="I235" i="15"/>
  <c r="I234" i="15"/>
  <c r="I233" i="15"/>
  <c r="I232" i="15"/>
  <c r="J228" i="15" l="1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06" i="15"/>
  <c r="I190" i="15"/>
  <c r="I189" i="15"/>
  <c r="I188" i="15"/>
  <c r="H187" i="15"/>
  <c r="I187" i="15" s="1"/>
  <c r="I186" i="15"/>
  <c r="I185" i="15"/>
  <c r="H184" i="15"/>
  <c r="I184" i="15" s="1"/>
  <c r="H183" i="15"/>
  <c r="I183" i="15" s="1"/>
  <c r="I182" i="15"/>
  <c r="I181" i="15"/>
  <c r="I180" i="15"/>
  <c r="I179" i="15"/>
  <c r="J205" i="15" l="1"/>
  <c r="H13" i="14"/>
  <c r="H14" i="14"/>
  <c r="I72" i="15" l="1"/>
  <c r="H11" i="14" l="1"/>
  <c r="H280" i="15"/>
  <c r="I280" i="15" s="1"/>
  <c r="I281" i="15"/>
  <c r="I282" i="15"/>
  <c r="I283" i="15"/>
  <c r="I284" i="15"/>
  <c r="I285" i="15"/>
  <c r="I286" i="15"/>
  <c r="I287" i="15"/>
  <c r="I288" i="15"/>
  <c r="I289" i="15"/>
  <c r="I244" i="15"/>
  <c r="J244" i="15" s="1"/>
  <c r="H10" i="14"/>
  <c r="J279" i="15" l="1"/>
  <c r="H19" i="14"/>
  <c r="I148" i="15" l="1"/>
  <c r="H380" i="15"/>
  <c r="H379" i="15"/>
  <c r="H378" i="15"/>
  <c r="I331" i="15"/>
  <c r="J331" i="15" s="1"/>
  <c r="I324" i="15" l="1"/>
  <c r="I315" i="15"/>
  <c r="I387" i="15" l="1"/>
  <c r="I386" i="15"/>
  <c r="I385" i="15"/>
  <c r="I384" i="15"/>
  <c r="H55" i="14"/>
  <c r="I55" i="14" s="1"/>
  <c r="H15" i="14"/>
  <c r="H12" i="14"/>
  <c r="I309" i="15"/>
  <c r="I308" i="15"/>
  <c r="J307" i="15" s="1"/>
  <c r="I303" i="15"/>
  <c r="I299" i="15"/>
  <c r="I298" i="15"/>
  <c r="I297" i="15"/>
  <c r="I296" i="15"/>
  <c r="I295" i="15"/>
  <c r="I294" i="15"/>
  <c r="I293" i="15"/>
  <c r="J292" i="15" l="1"/>
  <c r="I371" i="15"/>
  <c r="I370" i="15"/>
  <c r="I390" i="15"/>
  <c r="I389" i="15"/>
  <c r="I388" i="15"/>
  <c r="I200" i="15"/>
  <c r="H203" i="15"/>
  <c r="I203" i="15" s="1"/>
  <c r="H202" i="15"/>
  <c r="I202" i="15" s="1"/>
  <c r="H201" i="15"/>
  <c r="I201" i="15" s="1"/>
  <c r="H199" i="15"/>
  <c r="I199" i="15" s="1"/>
  <c r="H198" i="15"/>
  <c r="I198" i="15" s="1"/>
  <c r="H197" i="15"/>
  <c r="I197" i="15" s="1"/>
  <c r="H196" i="15"/>
  <c r="I196" i="15" s="1"/>
  <c r="H195" i="15"/>
  <c r="I195" i="15" s="1"/>
  <c r="I194" i="15"/>
  <c r="I193" i="15"/>
  <c r="I176" i="15"/>
  <c r="I168" i="15"/>
  <c r="I166" i="15"/>
  <c r="I165" i="15"/>
  <c r="I175" i="15"/>
  <c r="I174" i="15"/>
  <c r="H173" i="15"/>
  <c r="I173" i="15" s="1"/>
  <c r="I172" i="15"/>
  <c r="I171" i="15"/>
  <c r="H170" i="15"/>
  <c r="I170" i="15" s="1"/>
  <c r="H169" i="15"/>
  <c r="I169" i="15" s="1"/>
  <c r="I167" i="15"/>
  <c r="H162" i="15"/>
  <c r="I162" i="15" s="1"/>
  <c r="H161" i="15"/>
  <c r="I161" i="15" s="1"/>
  <c r="I160" i="15"/>
  <c r="I159" i="15"/>
  <c r="H158" i="15"/>
  <c r="I158" i="15" s="1"/>
  <c r="H157" i="15"/>
  <c r="I157" i="15" s="1"/>
  <c r="H156" i="15"/>
  <c r="I156" i="15" s="1"/>
  <c r="H155" i="15"/>
  <c r="I155" i="15" s="1"/>
  <c r="H154" i="15"/>
  <c r="I154" i="15" s="1"/>
  <c r="H153" i="15"/>
  <c r="I153" i="15" s="1"/>
  <c r="I116" i="15"/>
  <c r="H115" i="15"/>
  <c r="I115" i="15" s="1"/>
  <c r="H114" i="15"/>
  <c r="I114" i="15" s="1"/>
  <c r="I112" i="15"/>
  <c r="I108" i="15"/>
  <c r="I106" i="15"/>
  <c r="H111" i="15"/>
  <c r="I111" i="15" s="1"/>
  <c r="H110" i="15"/>
  <c r="I110" i="15" s="1"/>
  <c r="H109" i="15"/>
  <c r="I109" i="15" s="1"/>
  <c r="H107" i="15"/>
  <c r="I107" i="15" s="1"/>
  <c r="H105" i="15"/>
  <c r="I105" i="15" s="1"/>
  <c r="I125" i="15"/>
  <c r="I121" i="15"/>
  <c r="I120" i="15"/>
  <c r="I101" i="15"/>
  <c r="I99" i="15"/>
  <c r="H124" i="15"/>
  <c r="I124" i="15" s="1"/>
  <c r="H123" i="15"/>
  <c r="I123" i="15" s="1"/>
  <c r="H122" i="15"/>
  <c r="I122" i="15" s="1"/>
  <c r="H119" i="15"/>
  <c r="I119" i="15" s="1"/>
  <c r="I118" i="15"/>
  <c r="I102" i="15"/>
  <c r="H100" i="15"/>
  <c r="I100" i="15" s="1"/>
  <c r="H98" i="15"/>
  <c r="I98" i="15" s="1"/>
  <c r="I94" i="15"/>
  <c r="H95" i="15"/>
  <c r="I95" i="15" s="1"/>
  <c r="I93" i="15"/>
  <c r="H92" i="15"/>
  <c r="I92" i="15" s="1"/>
  <c r="H91" i="15"/>
  <c r="I91" i="15" s="1"/>
  <c r="H90" i="15"/>
  <c r="I90" i="15" s="1"/>
  <c r="I84" i="15"/>
  <c r="I83" i="15"/>
  <c r="I82" i="15"/>
  <c r="I81" i="15"/>
  <c r="I80" i="15"/>
  <c r="I79" i="15"/>
  <c r="I78" i="15"/>
  <c r="I77" i="15"/>
  <c r="I76" i="15"/>
  <c r="I75" i="15"/>
  <c r="I71" i="15"/>
  <c r="H86" i="15"/>
  <c r="I86" i="15" s="1"/>
  <c r="H85" i="15"/>
  <c r="I85" i="15" s="1"/>
  <c r="H74" i="15"/>
  <c r="I74" i="15" s="1"/>
  <c r="I73" i="15"/>
  <c r="I70" i="15"/>
  <c r="I54" i="15"/>
  <c r="I66" i="15"/>
  <c r="I65" i="15"/>
  <c r="I63" i="15"/>
  <c r="I62" i="15"/>
  <c r="I60" i="15"/>
  <c r="I59" i="15"/>
  <c r="I58" i="15"/>
  <c r="H64" i="15"/>
  <c r="I64" i="15" s="1"/>
  <c r="I61" i="15"/>
  <c r="H57" i="15"/>
  <c r="I57" i="15" s="1"/>
  <c r="H56" i="15"/>
  <c r="I56" i="15" s="1"/>
  <c r="H55" i="15"/>
  <c r="I55" i="15" s="1"/>
  <c r="I53" i="15"/>
  <c r="I15" i="15"/>
  <c r="H50" i="15"/>
  <c r="I50" i="15" s="1"/>
  <c r="H49" i="15"/>
  <c r="I49" i="15" s="1"/>
  <c r="H48" i="15"/>
  <c r="I48" i="15" s="1"/>
  <c r="H47" i="15"/>
  <c r="I47" i="15" s="1"/>
  <c r="H46" i="15"/>
  <c r="I46" i="15" s="1"/>
  <c r="I24" i="15"/>
  <c r="I22" i="15"/>
  <c r="I21" i="15"/>
  <c r="I20" i="15"/>
  <c r="I45" i="15"/>
  <c r="I42" i="15"/>
  <c r="I40" i="15"/>
  <c r="I39" i="15"/>
  <c r="I37" i="15"/>
  <c r="I36" i="15"/>
  <c r="I35" i="15"/>
  <c r="I34" i="15"/>
  <c r="I33" i="15"/>
  <c r="I32" i="15"/>
  <c r="I30" i="15"/>
  <c r="I29" i="15"/>
  <c r="I28" i="15"/>
  <c r="I27" i="15"/>
  <c r="I26" i="15"/>
  <c r="I19" i="15"/>
  <c r="I18" i="15"/>
  <c r="H44" i="15"/>
  <c r="I44" i="15" s="1"/>
  <c r="H43" i="15"/>
  <c r="I43" i="15" s="1"/>
  <c r="I41" i="15"/>
  <c r="H38" i="15"/>
  <c r="I38" i="15" s="1"/>
  <c r="H31" i="15"/>
  <c r="I31" i="15" s="1"/>
  <c r="H25" i="15"/>
  <c r="I25" i="15" s="1"/>
  <c r="H23" i="15"/>
  <c r="I23" i="15" s="1"/>
  <c r="J151" i="15" l="1"/>
  <c r="J89" i="15"/>
  <c r="J341" i="15"/>
  <c r="J52" i="15"/>
  <c r="J97" i="15"/>
  <c r="J17" i="15"/>
  <c r="I87" i="15"/>
  <c r="I69" i="15"/>
  <c r="J68" i="15" l="1"/>
  <c r="I14" i="15"/>
  <c r="I13" i="15"/>
  <c r="I12" i="15"/>
  <c r="I11" i="15"/>
  <c r="I10" i="15"/>
  <c r="I9" i="15"/>
  <c r="I8" i="15"/>
  <c r="I7" i="15"/>
  <c r="I6" i="15"/>
  <c r="I383" i="15"/>
  <c r="J382" i="15" s="1"/>
  <c r="I380" i="15"/>
  <c r="I379" i="15"/>
  <c r="I378" i="15"/>
  <c r="I377" i="15"/>
  <c r="I374" i="15"/>
  <c r="J373" i="15" s="1"/>
  <c r="I323" i="15"/>
  <c r="I322" i="15"/>
  <c r="I321" i="15"/>
  <c r="I320" i="15"/>
  <c r="I319" i="15"/>
  <c r="I318" i="15"/>
  <c r="I317" i="15"/>
  <c r="I316" i="15"/>
  <c r="I314" i="15"/>
  <c r="I313" i="15"/>
  <c r="I312" i="15"/>
  <c r="I305" i="15"/>
  <c r="I304" i="15"/>
  <c r="I302" i="15"/>
  <c r="I276" i="15"/>
  <c r="J275" i="15" s="1"/>
  <c r="I272" i="15"/>
  <c r="I149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J376" i="15" l="1"/>
  <c r="J301" i="15"/>
  <c r="J127" i="15"/>
  <c r="J311" i="15"/>
  <c r="I333" i="15"/>
  <c r="I336" i="15" s="1"/>
  <c r="J271" i="15"/>
  <c r="J5" i="15"/>
  <c r="H254" i="15" s="1"/>
  <c r="I392" i="15"/>
  <c r="I395" i="15" s="1"/>
  <c r="H6" i="14"/>
  <c r="H9" i="14"/>
  <c r="H18" i="14"/>
  <c r="H20" i="14"/>
  <c r="H21" i="14"/>
  <c r="H22" i="14"/>
  <c r="H25" i="14"/>
  <c r="I24" i="14" s="1"/>
  <c r="H29" i="14"/>
  <c r="H30" i="14"/>
  <c r="H31" i="14"/>
  <c r="I34" i="14"/>
  <c r="G35" i="14"/>
  <c r="G36" i="14"/>
  <c r="G37" i="14"/>
  <c r="G40" i="14"/>
  <c r="H41" i="14"/>
  <c r="I39" i="14" s="1"/>
  <c r="G48" i="14"/>
  <c r="H49" i="14"/>
  <c r="H52" i="14"/>
  <c r="H251" i="15" l="1"/>
  <c r="I17" i="14"/>
  <c r="I8" i="14"/>
  <c r="G44" i="14"/>
  <c r="H44" i="14" s="1"/>
  <c r="G45" i="14"/>
  <c r="H45" i="14" s="1"/>
  <c r="J333" i="15"/>
  <c r="J395" i="15"/>
  <c r="J392" i="15"/>
  <c r="I338" i="15"/>
  <c r="I28" i="14"/>
  <c r="I5" i="14"/>
  <c r="J336" i="15" l="1"/>
  <c r="J338" i="15" s="1"/>
  <c r="D7" i="1" s="1"/>
  <c r="I43" i="14"/>
  <c r="G50" i="14"/>
  <c r="H50" i="14" s="1"/>
  <c r="G51" i="14"/>
  <c r="H51" i="14" s="1"/>
  <c r="G53" i="14"/>
  <c r="H53" i="14" s="1"/>
  <c r="J397" i="15"/>
  <c r="D8" i="1" s="1"/>
  <c r="I397" i="15"/>
  <c r="I251" i="15"/>
  <c r="J250" i="15" s="1"/>
  <c r="I254" i="15"/>
  <c r="J253" i="15" s="1"/>
  <c r="J263" i="15" l="1"/>
  <c r="I263" i="15"/>
  <c r="I266" i="15" s="1"/>
  <c r="H58" i="14"/>
  <c r="I47" i="14"/>
  <c r="G58" i="14" l="1"/>
  <c r="J266" i="15"/>
  <c r="J268" i="15" s="1"/>
  <c r="D6" i="1" s="1"/>
  <c r="I58" i="14"/>
  <c r="H61" i="14" l="1"/>
  <c r="I268" i="15"/>
  <c r="I402" i="15" s="1"/>
  <c r="I61" i="14" l="1"/>
  <c r="H62" i="14"/>
  <c r="I62" i="14" s="1"/>
  <c r="J401" i="15"/>
  <c r="I405" i="15"/>
  <c r="J405" i="15" s="1"/>
  <c r="I63" i="14" l="1"/>
  <c r="D5" i="1" s="1"/>
  <c r="J407" i="15"/>
  <c r="D9" i="1" s="1"/>
  <c r="D11" i="1" s="1"/>
  <c r="I407" i="15"/>
  <c r="F70" i="9"/>
  <c r="F68" i="9"/>
  <c r="F66" i="9"/>
  <c r="F61" i="9"/>
  <c r="F60" i="9"/>
  <c r="F52" i="9"/>
  <c r="F36" i="9"/>
  <c r="F35" i="9"/>
  <c r="F34" i="9"/>
  <c r="F33" i="9"/>
  <c r="G13" i="9"/>
  <c r="G12" i="9"/>
  <c r="F53" i="9" l="1"/>
  <c r="F69" i="9"/>
  <c r="F67" i="9"/>
  <c r="G37" i="9"/>
  <c r="G36" i="9"/>
  <c r="F21" i="9"/>
  <c r="F20" i="9"/>
  <c r="D11" i="9"/>
  <c r="D12" i="1" l="1"/>
  <c r="D13" i="1" s="1"/>
  <c r="F65" i="9"/>
  <c r="F56" i="9"/>
  <c r="F22" i="9"/>
  <c r="G21" i="9"/>
  <c r="G42" i="9"/>
  <c r="H41" i="9" s="1"/>
  <c r="G70" i="9"/>
  <c r="G20" i="9"/>
  <c r="G19" i="9"/>
  <c r="G18" i="9"/>
  <c r="G28" i="9"/>
  <c r="G52" i="9"/>
  <c r="G61" i="9" l="1"/>
  <c r="G60" i="9"/>
  <c r="H59" i="9" l="1"/>
  <c r="G30" i="9" l="1"/>
  <c r="G29" i="9"/>
  <c r="G27" i="9" l="1"/>
  <c r="G26" i="9"/>
  <c r="G25" i="9" l="1"/>
  <c r="H24" i="9" s="1"/>
  <c r="G22" i="9" l="1"/>
  <c r="G11" i="9"/>
  <c r="H10" i="9" s="1"/>
  <c r="D13" i="2"/>
  <c r="D24" i="2"/>
  <c r="D8" i="2"/>
  <c r="D43" i="2" s="1"/>
  <c r="D33" i="2"/>
  <c r="D41" i="2"/>
  <c r="D29" i="2"/>
  <c r="D26" i="2"/>
  <c r="C4" i="4"/>
  <c r="C5" i="4"/>
  <c r="C6" i="4"/>
  <c r="C7" i="4"/>
  <c r="C8" i="4"/>
  <c r="C10" i="4"/>
  <c r="C11" i="4"/>
  <c r="C13" i="4"/>
  <c r="D13" i="4" s="1"/>
  <c r="C16" i="4"/>
  <c r="C17" i="4"/>
  <c r="C18" i="4"/>
  <c r="C19" i="4"/>
  <c r="C20" i="4"/>
  <c r="C21" i="4"/>
  <c r="C22" i="4"/>
  <c r="C23" i="4"/>
  <c r="C26" i="4"/>
  <c r="C27" i="4"/>
  <c r="C28" i="4"/>
  <c r="C29" i="4"/>
  <c r="C30" i="4"/>
  <c r="C31" i="4"/>
  <c r="C32" i="4"/>
  <c r="C33" i="4"/>
  <c r="C34" i="4"/>
  <c r="C35" i="4"/>
  <c r="C36" i="4"/>
  <c r="D36" i="4" s="1"/>
  <c r="C38" i="4"/>
  <c r="D38" i="4"/>
  <c r="C40" i="4"/>
  <c r="D40" i="4" s="1"/>
  <c r="C46" i="4"/>
  <c r="D46" i="4"/>
  <c r="C48" i="4"/>
  <c r="C49" i="4"/>
  <c r="C51" i="4"/>
  <c r="C53" i="4"/>
  <c r="C55" i="4"/>
  <c r="C56" i="4"/>
  <c r="D17" i="2"/>
  <c r="D21" i="2"/>
  <c r="D19" i="2"/>
  <c r="D31" i="2"/>
  <c r="D15" i="2"/>
  <c r="D11" i="2"/>
  <c r="D36" i="2"/>
  <c r="D48" i="4" l="1"/>
  <c r="G16" i="9"/>
  <c r="G68" i="9"/>
  <c r="G38" i="9"/>
  <c r="G35" i="9"/>
  <c r="G46" i="9"/>
  <c r="G67" i="9"/>
  <c r="G53" i="9"/>
  <c r="H51" i="9" s="1"/>
  <c r="G56" i="9"/>
  <c r="H55" i="9" s="1"/>
  <c r="G33" i="9"/>
  <c r="G69" i="9"/>
  <c r="G65" i="9"/>
  <c r="D51" i="4"/>
  <c r="D55" i="4"/>
  <c r="D26" i="4"/>
  <c r="D16" i="4"/>
  <c r="D10" i="4"/>
  <c r="D4" i="4"/>
  <c r="G66" i="9"/>
  <c r="G17" i="9"/>
  <c r="G34" i="9"/>
  <c r="G47" i="9"/>
  <c r="G48" i="9"/>
  <c r="D58" i="4" l="1"/>
  <c r="H15" i="9"/>
  <c r="H32" i="9"/>
  <c r="H64" i="9"/>
  <c r="D42" i="4"/>
  <c r="H45" i="9"/>
  <c r="D60" i="4" l="1"/>
  <c r="F74" i="9"/>
  <c r="G74" i="9" l="1"/>
  <c r="H74" i="9" s="1"/>
  <c r="G78" i="9" l="1"/>
  <c r="H78" i="9" l="1"/>
  <c r="G79" i="9" l="1"/>
  <c r="H79" i="9" s="1"/>
  <c r="H80" i="9" s="1"/>
</calcChain>
</file>

<file path=xl/sharedStrings.xml><?xml version="1.0" encoding="utf-8"?>
<sst xmlns="http://schemas.openxmlformats.org/spreadsheetml/2006/main" count="1490" uniqueCount="687">
  <si>
    <t>Misc. Furnishing</t>
  </si>
  <si>
    <t>PROCESS AND PRODUCTION EQUIPMENT</t>
  </si>
  <si>
    <t>01</t>
  </si>
  <si>
    <t>02</t>
  </si>
  <si>
    <t>00</t>
  </si>
  <si>
    <t>*</t>
  </si>
  <si>
    <t>CHILLING &amp; PROCESSING EQUIPMENT FOR MILK AND CREAM</t>
  </si>
  <si>
    <t>RECEPTION EQUIPMENT INCLUDING STORAGE</t>
  </si>
  <si>
    <t>POUCH FILLING SECTION INCLUDING CRATE WASHING</t>
  </si>
  <si>
    <t>BUTTER MILK HANDLING SECTION</t>
  </si>
  <si>
    <t>03</t>
  </si>
  <si>
    <t>04</t>
  </si>
  <si>
    <t>CLEANING IN PLACE EQUIPMENT</t>
  </si>
  <si>
    <t>STEAM GENERATION SYSTEM</t>
  </si>
  <si>
    <t>WATER HANDLING SYSTEM</t>
  </si>
  <si>
    <t>COMPRESSED AIR HANDLING SYSTEM</t>
  </si>
  <si>
    <t>WEIGHING EQUIPMENT</t>
  </si>
  <si>
    <t>ERECTION, TESTING AND COMMISSIONING</t>
  </si>
  <si>
    <t>LAND AND DEVELOPMENT</t>
  </si>
  <si>
    <t>ENGINEERING COST ESTIMATE - CIVIL</t>
  </si>
  <si>
    <t>INDUSTRIAL BUILDING</t>
  </si>
  <si>
    <t>Sqmt</t>
  </si>
  <si>
    <t>STORAGE FACILITIES/BUILDINGS</t>
  </si>
  <si>
    <t>Sq M</t>
  </si>
  <si>
    <t>NON INDUSTRIAL BUILDINGS</t>
  </si>
  <si>
    <t>COMPOUND WALL AND OTHER BUILDINGS</t>
  </si>
  <si>
    <t>ROAD AND PAVEMENTS</t>
  </si>
  <si>
    <t>Concrete roads /Park</t>
  </si>
  <si>
    <t>INTERNAL ELECTRIFICATION</t>
  </si>
  <si>
    <t>CONSULTANTS SERVICE FEES</t>
  </si>
  <si>
    <t>CIVIL CONTINGENCIES</t>
  </si>
  <si>
    <t>Toilet block</t>
  </si>
  <si>
    <t>Security complex</t>
  </si>
  <si>
    <t>Sq mt</t>
  </si>
  <si>
    <t>ELECTRIFICATION</t>
  </si>
  <si>
    <t>CUM</t>
  </si>
  <si>
    <t xml:space="preserve">External water supply lines </t>
  </si>
  <si>
    <t>OFFICE FURNISHINGS AND EQUIPMENT</t>
  </si>
  <si>
    <t>CONSULTANTS SERVICES</t>
  </si>
  <si>
    <t>PROCESS AND PRODUCTION CONTINGENCIES</t>
  </si>
  <si>
    <t xml:space="preserve">TOTAL </t>
  </si>
  <si>
    <t>TOTAL FOR THE RANGE 750-774</t>
  </si>
  <si>
    <t>SERVICE EQUIPMENT CONTINGENCIES</t>
  </si>
  <si>
    <t>MISCELLANEOUS EQUIPMENT CONTINGENCIES</t>
  </si>
  <si>
    <t>ERECTION CONTINGENCIES</t>
  </si>
  <si>
    <t>TOTAL</t>
  </si>
  <si>
    <t>DESCRIPTION</t>
  </si>
  <si>
    <t>750-774</t>
  </si>
  <si>
    <t>CIVIL WORKS</t>
  </si>
  <si>
    <t>PROCESSING &amp; PRODUCTION EQUIPMENT</t>
  </si>
  <si>
    <t>SERVICE EQUIPMENT</t>
  </si>
  <si>
    <t>IN RS. LAKH</t>
  </si>
  <si>
    <t xml:space="preserve">BASIC </t>
  </si>
  <si>
    <t>CODE</t>
  </si>
  <si>
    <t>S/A</t>
  </si>
  <si>
    <t>AMOUNT AS</t>
  </si>
  <si>
    <t xml:space="preserve">PER APPRAISAL </t>
  </si>
  <si>
    <t xml:space="preserve"> </t>
  </si>
  <si>
    <t>Land Development</t>
  </si>
  <si>
    <t>INDUSTRIAL BUILDINGS</t>
  </si>
  <si>
    <t>STORAGE BUILDING &amp; FOUNDATION</t>
  </si>
  <si>
    <t>NON INDUSTRIAL BUILDING</t>
  </si>
  <si>
    <t>EFFLUENT TREATMENT PLANT</t>
  </si>
  <si>
    <t>ETP Civil &amp; Mechanical</t>
  </si>
  <si>
    <t>ROADS AND PAVEMENTS</t>
  </si>
  <si>
    <t>SPECIAL TREAMENT FOR BUILDINGS</t>
  </si>
  <si>
    <t>CONSULTANT'S FEE</t>
  </si>
  <si>
    <t>Architectural Consultancy Fee</t>
  </si>
  <si>
    <t>Structural Consultancy Fee</t>
  </si>
  <si>
    <t>Other Consultancy Charges</t>
  </si>
  <si>
    <t>TOTAL FOR CIVIL WORKS</t>
  </si>
  <si>
    <t>SUBJECT : COST ESTIMATE -CIVIL</t>
  </si>
  <si>
    <t>BASIC</t>
  </si>
  <si>
    <t>QTY</t>
  </si>
  <si>
    <t>UNIT</t>
  </si>
  <si>
    <t>RINSE MILK RECOVERY SYSTEM</t>
  </si>
  <si>
    <t>REFRIGERATION SYSTEM</t>
  </si>
  <si>
    <t>INDUSTRIAL ELECTRICAL LT</t>
  </si>
  <si>
    <t>LABORATORY EQUIPMENT</t>
  </si>
  <si>
    <t>FIRE FIGHTING SYSTEM</t>
  </si>
  <si>
    <t>ERECTION</t>
  </si>
  <si>
    <t>Industrial building (Production Block)</t>
  </si>
  <si>
    <t>sqmt</t>
  </si>
  <si>
    <t>Reception</t>
  </si>
  <si>
    <t>RMRD ( 21 x 10.5 )</t>
  </si>
  <si>
    <t>RMRD lab ( 7 x 3.5 )</t>
  </si>
  <si>
    <t>Reception office</t>
  </si>
  <si>
    <t>Stairs ( 7 x 3.5 )</t>
  </si>
  <si>
    <t>Passage ( 3.5 x 42)</t>
  </si>
  <si>
    <t>CIP</t>
  </si>
  <si>
    <t>CIP (10.5 x7)</t>
  </si>
  <si>
    <t>CIP store</t>
  </si>
  <si>
    <t>Process</t>
  </si>
  <si>
    <t>Process hall ( 21 x 14)</t>
  </si>
  <si>
    <t>Butter/ghee</t>
  </si>
  <si>
    <t>Cont. Butter making /Cr ripening</t>
  </si>
  <si>
    <t>Ghee making ( 14 x 7 )</t>
  </si>
  <si>
    <t>Panel room</t>
  </si>
  <si>
    <t>Butter melting/pkg mat</t>
  </si>
  <si>
    <t>Reconstitution</t>
  </si>
  <si>
    <t xml:space="preserve">Ghee store </t>
  </si>
  <si>
    <t>SMP store</t>
  </si>
  <si>
    <t>Butter cold store</t>
  </si>
  <si>
    <t>Packing</t>
  </si>
  <si>
    <t>Pouch filling ( 14 x 14)</t>
  </si>
  <si>
    <t>Crate washing area (14 x 10 .5 )</t>
  </si>
  <si>
    <t>Milk cold store ( 21 x 10.5 )</t>
  </si>
  <si>
    <t>Ind prod CS ( 7 x 10.5 )</t>
  </si>
  <si>
    <t>film store  big size ( 7 x 10 .5 )</t>
  </si>
  <si>
    <t>Panel room ( 7 x 3.5 )</t>
  </si>
  <si>
    <t>Pkg mat store</t>
  </si>
  <si>
    <t>passage</t>
  </si>
  <si>
    <t>Packing section office</t>
  </si>
  <si>
    <t>Lab</t>
  </si>
  <si>
    <t>Indigenous Product store ( 7 x 10.5 )</t>
  </si>
  <si>
    <t>First floor</t>
  </si>
  <si>
    <t>HMST room ( 14 x 7)</t>
  </si>
  <si>
    <t>Docks</t>
  </si>
  <si>
    <t>All docks -( 42 x2) +(21 x2)+ 2*2*28</t>
  </si>
  <si>
    <t>Total Sqmt</t>
  </si>
  <si>
    <t>Industrial building (ServiceBlock)</t>
  </si>
  <si>
    <t>Boiler</t>
  </si>
  <si>
    <t>Boiler house including softner</t>
  </si>
  <si>
    <t>Refrigeration</t>
  </si>
  <si>
    <t>Refrigeration room</t>
  </si>
  <si>
    <t>Expn for refrigeration</t>
  </si>
  <si>
    <t>Engg store</t>
  </si>
  <si>
    <t>Workshop /office</t>
  </si>
  <si>
    <t>Toilet</t>
  </si>
  <si>
    <t>Electricals</t>
  </si>
  <si>
    <t>LT room ( 14 x 7 )</t>
  </si>
  <si>
    <t xml:space="preserve">DG set room </t>
  </si>
  <si>
    <t>Grand total Sqmt</t>
  </si>
  <si>
    <t>LS</t>
  </si>
  <si>
    <t>COMPOUND WALL &amp; OTHER BLDGS</t>
  </si>
  <si>
    <t>BUILDING FURNISHINGS</t>
  </si>
  <si>
    <t>Lab furniture</t>
  </si>
  <si>
    <t>Internal Electrification contract /fixtures</t>
  </si>
  <si>
    <t xml:space="preserve"> ELECTRIFICATION</t>
  </si>
  <si>
    <t>OLD BUILDING DEMOLITION</t>
  </si>
  <si>
    <t>EXT WATER SUPPLY &amp; DRAINAGE</t>
  </si>
  <si>
    <t>775-884</t>
  </si>
  <si>
    <t>910-929</t>
  </si>
  <si>
    <t>MISCELLANEOUS EQUIPMENT</t>
  </si>
  <si>
    <t xml:space="preserve">ERECTION </t>
  </si>
  <si>
    <t>885-899</t>
  </si>
  <si>
    <t>STRUCTURAL BRIDGES/PLATFORMS</t>
  </si>
  <si>
    <t>PROJECT : METRO DAIRY WITH POWDER PLANT ( 11 LLPD)</t>
  </si>
  <si>
    <t>CAPACITY</t>
  </si>
  <si>
    <t>Suitable</t>
  </si>
  <si>
    <t>30 KLPH</t>
  </si>
  <si>
    <t>20 KLPH</t>
  </si>
  <si>
    <t>40 KLPH</t>
  </si>
  <si>
    <t>5 KLPH</t>
  </si>
  <si>
    <t>15 KL</t>
  </si>
  <si>
    <t xml:space="preserve"> -</t>
  </si>
  <si>
    <t>2 KL</t>
  </si>
  <si>
    <t>Rinse Milk Chiller</t>
  </si>
  <si>
    <t>CIP COMMON FACILITY</t>
  </si>
  <si>
    <t>10 KLPH</t>
  </si>
  <si>
    <t>3000 L</t>
  </si>
  <si>
    <t>100 L</t>
  </si>
  <si>
    <t xml:space="preserve">Continuous Butter Melter </t>
  </si>
  <si>
    <t>3 KLPH</t>
  </si>
  <si>
    <t>Ghee boiler</t>
  </si>
  <si>
    <t>Ghee transfer pump</t>
  </si>
  <si>
    <t>Miscellaneous items</t>
  </si>
  <si>
    <t xml:space="preserve">  - Rubber Mats</t>
  </si>
  <si>
    <t>Gerber Test Equipment</t>
  </si>
  <si>
    <t>MBR Test kit</t>
  </si>
  <si>
    <t>Sediment Analyser</t>
  </si>
  <si>
    <t>Phospatase Test kit</t>
  </si>
  <si>
    <t>Raw milk density meter</t>
  </si>
  <si>
    <t>Acidimeter</t>
  </si>
  <si>
    <t>Sampling Kit</t>
  </si>
  <si>
    <t>Plate count test kit</t>
  </si>
  <si>
    <t>Swab test kit</t>
  </si>
  <si>
    <t>Advance range electronic pH meter</t>
  </si>
  <si>
    <t>Chlorine Sanitiser strength analyser</t>
  </si>
  <si>
    <t>Majonnier Fat tester</t>
  </si>
  <si>
    <t>Water examination test kit</t>
  </si>
  <si>
    <t>Infra red milk analyser</t>
  </si>
  <si>
    <t>Electric autoclave</t>
  </si>
  <si>
    <t>Polarimeter</t>
  </si>
  <si>
    <t>Microscope</t>
  </si>
  <si>
    <t>Magnetic stirrer</t>
  </si>
  <si>
    <t>Causticity / acidity test equipment</t>
  </si>
  <si>
    <t>Coliform bacteria test equipment</t>
  </si>
  <si>
    <t>Colony counter</t>
  </si>
  <si>
    <t>High precision weighing balance</t>
  </si>
  <si>
    <t>Heavy duty hot air oven</t>
  </si>
  <si>
    <t>Incubator</t>
  </si>
  <si>
    <t>Distilled water unit</t>
  </si>
  <si>
    <t>Antibiotics test kit</t>
  </si>
  <si>
    <t>Anaerobic count analysis equipment</t>
  </si>
  <si>
    <t>Microwave oven</t>
  </si>
  <si>
    <t>QUARTERS</t>
  </si>
  <si>
    <t>200 lts</t>
  </si>
  <si>
    <t xml:space="preserve">Butter Deep Freeze </t>
  </si>
  <si>
    <t>Rs</t>
  </si>
  <si>
    <t>5 KL</t>
  </si>
  <si>
    <t>30 KG</t>
  </si>
  <si>
    <t>SS packing tables</t>
  </si>
  <si>
    <t>Lighting Fixtures and Fans</t>
  </si>
  <si>
    <t>Electrification Contract</t>
  </si>
  <si>
    <t>10 KL</t>
  </si>
  <si>
    <t>Steam &amp; Water Mixing batteries</t>
  </si>
  <si>
    <t>Compound wall/Chain link fence</t>
  </si>
  <si>
    <t>Cream Storage cum Ripening Tank</t>
  </si>
  <si>
    <t>CONTROL &amp; INSTRUMENTS, AUTOMATION</t>
  </si>
  <si>
    <t>Controls &amp; Instrumentation</t>
  </si>
  <si>
    <t>MIS System</t>
  </si>
  <si>
    <t xml:space="preserve">  - GI &amp; SS cable trays</t>
  </si>
  <si>
    <t xml:space="preserve">  - Isolators (with Emergency push buttons)</t>
  </si>
  <si>
    <t>Instrumentation cables</t>
  </si>
  <si>
    <t>Ghee Clarifier</t>
  </si>
  <si>
    <t>Ghee Settling  tanks</t>
  </si>
  <si>
    <t>Ghee Balance Tank</t>
  </si>
  <si>
    <t>1, 2 KG</t>
  </si>
  <si>
    <t>Ghee Tin Lid sealer</t>
  </si>
  <si>
    <t>Ghee Tin Coder</t>
  </si>
  <si>
    <t>GHEE MAKING &amp; PACKING EQUIPMENT</t>
  </si>
  <si>
    <t>Prestratification Tank</t>
  </si>
  <si>
    <t>Ghee storage cum granulation jacketed tanks</t>
  </si>
  <si>
    <t>S. N.</t>
  </si>
  <si>
    <t>Quantity</t>
  </si>
  <si>
    <t>Milk Reception &amp; Processing</t>
  </si>
  <si>
    <t>Butter</t>
  </si>
  <si>
    <t>Ghee Production</t>
  </si>
  <si>
    <t>Ghee Packing</t>
  </si>
  <si>
    <t>2-3 Tins/min</t>
  </si>
  <si>
    <t>Liquid Milk marketing /despatch</t>
  </si>
  <si>
    <t>In bulk (loose milk through tankers)</t>
  </si>
  <si>
    <t>Liquid Milk Packing</t>
  </si>
  <si>
    <t>Design criteria considered while working out cost estimates</t>
  </si>
  <si>
    <t>Details of Milk Processing, Product manufacturing and Packing</t>
  </si>
  <si>
    <t>Storm water drainage</t>
  </si>
  <si>
    <t>Rain water harvesting with recharge wells</t>
  </si>
  <si>
    <t>MISCELLANEOUS ITEMS</t>
  </si>
  <si>
    <t>Reconstitution for SNF correction</t>
  </si>
  <si>
    <t>5 MTPD</t>
  </si>
  <si>
    <t>1 MTPD</t>
  </si>
  <si>
    <t>In 200 ml, 500 ml &amp; 1000 ml polypack</t>
  </si>
  <si>
    <t>Cold store for 300 TL</t>
  </si>
  <si>
    <t>2  KL</t>
  </si>
  <si>
    <t>DG Set with AMF Panel</t>
  </si>
  <si>
    <t>BASIC CODE</t>
  </si>
  <si>
    <t>UNIT RATE</t>
  </si>
  <si>
    <t>SUB TOTAL</t>
  </si>
  <si>
    <t xml:space="preserve">AMOUNT </t>
  </si>
  <si>
    <t xml:space="preserve"> Rs</t>
  </si>
  <si>
    <t>Rs LAKHS</t>
  </si>
  <si>
    <t>WATER SUPPLY AND DRAINAGE</t>
  </si>
  <si>
    <t>2 nos. Expandable to 3</t>
  </si>
  <si>
    <t>Lot</t>
  </si>
  <si>
    <t>No.</t>
  </si>
  <si>
    <t>Ghee residue trolley with tank</t>
  </si>
  <si>
    <t>Ghee leaky pouch collection system</t>
  </si>
  <si>
    <t>Ghee Tin filler for 15 Kgs - Semi-automatic</t>
  </si>
  <si>
    <t>Job</t>
  </si>
  <si>
    <t>1 KL</t>
  </si>
  <si>
    <t xml:space="preserve">Molten Butter Transfer Pump </t>
  </si>
  <si>
    <t>Fume extraction system for Ghee making section-  SS ducting &amp; hood with industrial Fan</t>
  </si>
  <si>
    <t>Ghee check weighing scale</t>
  </si>
  <si>
    <t>SS Platform weigh scale for tins</t>
  </si>
  <si>
    <t>COLD STORAGES/ DEEP FREEZERS INSULATION</t>
  </si>
  <si>
    <t>USING PUF SANDWICHED PANELS &amp; FDC UNITS</t>
  </si>
  <si>
    <t>SS structural platforms in tanker ways/CIP tanks/ghee equipment/silos spiral ladders, pouch filling machines, cross over bridge for crate conveyors etc.</t>
  </si>
  <si>
    <t>Capacitor Panels with APFCR &amp; Capacitors</t>
  </si>
  <si>
    <t>Site office equipment &amp; Furniture</t>
  </si>
  <si>
    <t>Three (2W + 1F) tankers reception line each of 40 KLPH</t>
  </si>
  <si>
    <t>10 LLPD</t>
  </si>
  <si>
    <t>One tanker despatch line of 30 KLPH</t>
  </si>
  <si>
    <t>Two milk processing line each of 30 KLPH</t>
  </si>
  <si>
    <t>Two 30 KLPH self cleaning seperators with auto fat standardization unit</t>
  </si>
  <si>
    <t>Four packing lines each with 4 (3W + 1S) high speed double head mechanical machines 10000 PPH considerd. Building to have provision for one more line</t>
  </si>
  <si>
    <t xml:space="preserve">4 x 4 nos. (provision  for installation of 1 more packing line in future) </t>
  </si>
  <si>
    <t xml:space="preserve">Curd  Production </t>
  </si>
  <si>
    <t xml:space="preserve">Butter Pump Positive Displacement </t>
  </si>
  <si>
    <t>Serum Separator</t>
  </si>
  <si>
    <t>Ice Cream Plant</t>
  </si>
  <si>
    <t>5 KL/shift</t>
  </si>
  <si>
    <t>Tender Advertisement cost</t>
  </si>
  <si>
    <t>Set</t>
  </si>
  <si>
    <t>In 100 ml cups, candies, family pack</t>
  </si>
  <si>
    <t>Powder Store</t>
  </si>
  <si>
    <t>General Store</t>
  </si>
  <si>
    <t xml:space="preserve">Land development, landscaping, Soil investigation &amp; Contour  survey  </t>
  </si>
  <si>
    <t>Parking cycle/scooter stand</t>
  </si>
  <si>
    <t>HT Power cables</t>
  </si>
  <si>
    <t>Lassi &amp; Butter Milk In 200 ml &amp; 500 ml pouch</t>
  </si>
  <si>
    <t>Ghee store 2500 sq m</t>
  </si>
  <si>
    <t>In 200 ml, 500 ml, 1 L, 2 L, 5 L tins</t>
  </si>
  <si>
    <t>Powder store for 3000 sq m</t>
  </si>
  <si>
    <t>In 15 L tin</t>
  </si>
  <si>
    <t>APDDC NEW DAIRY, CAPACITY 6 LLPD expandable to 10 LLPD</t>
  </si>
  <si>
    <t>400 TLPD</t>
  </si>
  <si>
    <t>In 500 ml &amp; 1000 ml polypack (25% FCM, 65% Toned, 3% SM, 5% DTM, 2% standardized )</t>
  </si>
  <si>
    <t xml:space="preserve">Three CBMM considered - indigenous 800 kg/hr for white butter </t>
  </si>
  <si>
    <t>40 MTPD</t>
  </si>
  <si>
    <t>Two butter churns of 5 KL capacity for table butter</t>
  </si>
  <si>
    <t>30 MTPD</t>
  </si>
  <si>
    <t>Ghee store considered 1000 sq m area for 30 days storage</t>
  </si>
  <si>
    <t>55 MTPD</t>
  </si>
  <si>
    <t>Equiv to 29 MTPD curd</t>
  </si>
  <si>
    <t>7 MTPD</t>
  </si>
  <si>
    <t>Curd cold store for 36 MTPD curd, lassi &amp; butter milk</t>
  </si>
  <si>
    <t>5000 PPH</t>
  </si>
  <si>
    <t xml:space="preserve">Ghee Pouch Packing Machine </t>
  </si>
  <si>
    <t xml:space="preserve">PROJECT : NAGPUR DAIRY 6 EXP 10 LLPD </t>
  </si>
  <si>
    <t>Raw Milk Chiller (10 - 4 Deg. C)</t>
  </si>
  <si>
    <t>QTY.</t>
  </si>
  <si>
    <t>UNIT PRICE (Rs.)</t>
  </si>
  <si>
    <t>TOTAL PRICE (Rs.)</t>
  </si>
  <si>
    <t>Sludge Transfer Pump</t>
  </si>
  <si>
    <t>Milk Re-Chiller for Pouch Filling Lines</t>
  </si>
  <si>
    <t>Cream Buffer Tank</t>
  </si>
  <si>
    <t>MILK RECONSTITUTION SECTION INCLUDING POWDER STORE</t>
  </si>
  <si>
    <t>Turbo Blender with Hopper</t>
  </si>
  <si>
    <t>Reconstitution Milk Chiller</t>
  </si>
  <si>
    <t>10000 PPH</t>
  </si>
  <si>
    <t>SS Packing Table &amp; Cross Over Bridges</t>
  </si>
  <si>
    <t>SS Balance Tank for Rinse Milk Recovery</t>
  </si>
  <si>
    <t>Bulk Acid Storage Tank</t>
  </si>
  <si>
    <t>Hot Water Tank</t>
  </si>
  <si>
    <t>Recuperation Tank</t>
  </si>
  <si>
    <t>12 KL</t>
  </si>
  <si>
    <t>Compressed Air Pipes &amp; Fittings</t>
  </si>
  <si>
    <t>1010 KVA</t>
  </si>
  <si>
    <t>Leakey Pouch Milk Transfer Pump</t>
  </si>
  <si>
    <t>RCPs, Frequency Drive Panel</t>
  </si>
  <si>
    <t xml:space="preserve">Cost of bringing potable water not considered in the estimate. </t>
  </si>
  <si>
    <t>Chemical Store</t>
  </si>
  <si>
    <t>Packing Material Store</t>
  </si>
  <si>
    <t>30 KL</t>
  </si>
  <si>
    <t>2 KLPH</t>
  </si>
  <si>
    <t>Milk Homogenizer for Partial Homogenization</t>
  </si>
  <si>
    <t>60 KL</t>
  </si>
  <si>
    <t>CIP Return Pump for Cream Buffer Tank</t>
  </si>
  <si>
    <t>Sludge Collection Tank</t>
  </si>
  <si>
    <t>Sludge Balance Tank</t>
  </si>
  <si>
    <t>DSI for Sludge Treatment</t>
  </si>
  <si>
    <t>Horizontal Milk Storage Tanks (HMST)</t>
  </si>
  <si>
    <t>Weigh Scale</t>
  </si>
  <si>
    <t>100 Kg.</t>
  </si>
  <si>
    <t>30 Kg.</t>
  </si>
  <si>
    <t>2 Kg.</t>
  </si>
  <si>
    <t>Electronic Road Weigh Bridge</t>
  </si>
  <si>
    <t>500 Ltr.</t>
  </si>
  <si>
    <t>Rinse Milk Transfer Pump to Rinse Milk Storage Tank</t>
  </si>
  <si>
    <t>Leaky Pouch Dump Tank</t>
  </si>
  <si>
    <t>SS Working Tables</t>
  </si>
  <si>
    <t>Bulk Lye Storage Tank</t>
  </si>
  <si>
    <t>1.5 KLPH</t>
  </si>
  <si>
    <t>Plate Heat Exchanger</t>
  </si>
  <si>
    <t>CIP Forward Pump</t>
  </si>
  <si>
    <t>15 KLPH</t>
  </si>
  <si>
    <t xml:space="preserve">SS Pipes, fittings, flow plates, SS supports, imported Mix proof and single seat valves, SS Valves, SS trays for valve batteries etc </t>
  </si>
  <si>
    <t>Acid Solution Tank</t>
  </si>
  <si>
    <t>Lye Solution Tank</t>
  </si>
  <si>
    <t>WHITE BUTTER SECTION</t>
  </si>
  <si>
    <t>Butter Milk Buffer Tank (Single Walled)</t>
  </si>
  <si>
    <t>5 / 10 KLPH</t>
  </si>
  <si>
    <t>CIP Detergent Hopper</t>
  </si>
  <si>
    <t>JACKET COOLING SYSTEM FOR CBMM</t>
  </si>
  <si>
    <t>Chilled Water Balance Tank</t>
  </si>
  <si>
    <t>BUTTER HANDLING SYSTEM</t>
  </si>
  <si>
    <t>SS Butter Trolley</t>
  </si>
  <si>
    <t>Online Printer with Conveyor</t>
  </si>
  <si>
    <t>Chilled Water Circulation Pump</t>
  </si>
  <si>
    <t>Powder Plant Building 30 MTPD</t>
  </si>
  <si>
    <t>Ice Cream Plant Building 25 TLPD</t>
  </si>
  <si>
    <t>Production Block (6 LLPD Expandable to 10 LLPD) + Fermented Block</t>
  </si>
  <si>
    <t>Engineering Workshop &amp; Store</t>
  </si>
  <si>
    <t>Miscellaneous Scrap Yard</t>
  </si>
  <si>
    <t>Nos.</t>
  </si>
  <si>
    <t>Service &amp; Passenger Lifts</t>
  </si>
  <si>
    <t>Service block (Refrigerantion, Boiler House, Fuel Yard, Sub-station &amp; WTP)</t>
  </si>
  <si>
    <t>Misc Industrial buildings: Machine Foundations of Milk Silos, Ammonia and Air compressors, Ice Silos, Boilers and Chimney, Pipe bridge pedestals, Calendria Foundation, Shaking Bed &amp; misc. equipment foundations.</t>
  </si>
  <si>
    <t>Electrically operated gates &amp; Canopy</t>
  </si>
  <si>
    <t>UG sump 10.0 Lakh Litres</t>
  </si>
  <si>
    <t>External sanitary Works</t>
  </si>
  <si>
    <t>STP</t>
  </si>
  <si>
    <t>RM</t>
  </si>
  <si>
    <t>Architects &amp; structural consultants fees @ 2% of civil works</t>
  </si>
  <si>
    <t>GST @ 18% for Civil Works</t>
  </si>
  <si>
    <t>Weighbridge Cabin &amp; Foundation (60 MT)</t>
  </si>
  <si>
    <t>Civil contingencies @ 3 %</t>
  </si>
  <si>
    <t xml:space="preserve">  - Danger Boards &amp; Safety Kits</t>
  </si>
  <si>
    <t>Fresh Water Tank</t>
  </si>
  <si>
    <t>UPS</t>
  </si>
  <si>
    <t>Administration Building</t>
  </si>
  <si>
    <t>Worker Amenities, Canteen &amp; Rest Rooms</t>
  </si>
  <si>
    <t>Civil &amp; Mechanical Works for new ZLD (MBR + RO + MVR + ATFD)</t>
  </si>
  <si>
    <t>GI Structurals</t>
  </si>
  <si>
    <t>Automation Software</t>
  </si>
  <si>
    <t>Field Instruments</t>
  </si>
  <si>
    <t>Air Conditioner for Control Rooms</t>
  </si>
  <si>
    <t>Chilled Water based units for IMCC Rooms</t>
  </si>
  <si>
    <t>Automation Hardware</t>
  </si>
  <si>
    <t>Automation Accessories</t>
  </si>
  <si>
    <t xml:space="preserve"> Landscaping, Garden piping , pumps, etc.</t>
  </si>
  <si>
    <t>Retaining walls etc as per site levels.</t>
  </si>
  <si>
    <t>Civil &amp; Mechanical Works for new ETP of 10 LLPD capacity.</t>
  </si>
  <si>
    <t>Puf panel works with internal electrification of cold store &amp; deep freeze works</t>
  </si>
  <si>
    <t>UOM</t>
  </si>
  <si>
    <t>-----</t>
  </si>
  <si>
    <t>GST ON TSF @ 18%</t>
  </si>
  <si>
    <t>Cost of clearing encumbraces from the site is to be arranged and borne by Project Authority and not considered in the estimate.</t>
  </si>
  <si>
    <t>Liquid Milk Processing equipment and cost estimates worked out considering that the plant would be operated in three shifts/day.</t>
  </si>
  <si>
    <t>Sets</t>
  </si>
  <si>
    <t>Nos</t>
  </si>
  <si>
    <t>Tanker Unloading Pump (VFD Operated)</t>
  </si>
  <si>
    <t>Raw Milk Transfer Pump (from RMST to Pasteurizer - VFD Operated)</t>
  </si>
  <si>
    <t>3 MT</t>
  </si>
  <si>
    <t>Milk Transfer Pump to HMST (VFD Operated)</t>
  </si>
  <si>
    <t>CIP Return Pump for Cream Storage cum Ripening Tank</t>
  </si>
  <si>
    <t>Sludge Transfer Pump to DSI Unit</t>
  </si>
  <si>
    <t>CIP Return Pump for Reconstitution Milk Storage Tank</t>
  </si>
  <si>
    <t>Straight through Crate washer with Drier</t>
  </si>
  <si>
    <t>CIP Return Pump for HMSTs</t>
  </si>
  <si>
    <t>PIP Type Simplex Inline Strainer</t>
  </si>
  <si>
    <t>Jaw Cooling Water PHE Chiller</t>
  </si>
  <si>
    <t>Leakey Pouch Milk PHE Chiller</t>
  </si>
  <si>
    <t>Crate Trolley - SS</t>
  </si>
  <si>
    <t>Rinse Milk Storage Tank (Vertical, Insulated)</t>
  </si>
  <si>
    <t>CIP Return Pump for Rinse Milk Storage Tank</t>
  </si>
  <si>
    <t>Cream Feed Pump to CBMM (VFD Operated) (Lobe Type)</t>
  </si>
  <si>
    <t>CIP Pump in parallel to Cream Feed Lobe Pump</t>
  </si>
  <si>
    <t>Bulk Butter Filling Machine - Manual (20 Kg. Cartons)</t>
  </si>
  <si>
    <t>Butter Milk  / CIP Discharge Pump (VFD Operated)</t>
  </si>
  <si>
    <t>Butter Milk Storage Tank</t>
  </si>
  <si>
    <t>CIP Return Pump for BM Storage Tank</t>
  </si>
  <si>
    <t>200 Ltr.</t>
  </si>
  <si>
    <t>MILK PIPING AND FITTINGS</t>
  </si>
  <si>
    <t>Scrap Yard</t>
  </si>
  <si>
    <t>Civil &amp; Mechanical Works for new ETP of 7.25 LLPD capacity with</t>
  </si>
  <si>
    <t xml:space="preserve"> ZLD Civil &amp; Mechanical Works for new ZLD (MBR + RO + MVR + ATFD)</t>
  </si>
  <si>
    <t>Civil &amp; Mechanical Works for new ETP of 7.25 LLPD capacity with ZLD Civil &amp; Mechanical Works for new ZLD (MBR + RO + MVR + ATFD)</t>
  </si>
  <si>
    <t>GST @18%</t>
  </si>
  <si>
    <t>SR. NO.</t>
  </si>
  <si>
    <t>AMOUNT IN RS. LAKH</t>
  </si>
  <si>
    <t>Following assumptions have been made while preparing the Cost Estimate:</t>
  </si>
  <si>
    <t>100 KL</t>
  </si>
  <si>
    <t>Milk Transfer Pump to Curd Milk Pasteurizer (VFD Operated)</t>
  </si>
  <si>
    <t>100 Ltr.</t>
  </si>
  <si>
    <t>300 Ltr.</t>
  </si>
  <si>
    <t>Butter Melting Vat</t>
  </si>
  <si>
    <t>Hot Water Generation System</t>
  </si>
  <si>
    <t>Cream Transfer cum Dosing Pump to Butter Section (Lobe Type)</t>
  </si>
  <si>
    <t>Pouch Filling Machines for Liquid Milk with TTO Printer</t>
  </si>
  <si>
    <t>Balance Tank for Pouch Washing with Flexible Hose at Dock</t>
  </si>
  <si>
    <t>CBMM for White Butter complete with all Accessories comprising Churning Section &amp; Working 1 Section (Partly Imported)</t>
  </si>
  <si>
    <t>CIP Return Pump for Road Milk Tankers</t>
  </si>
  <si>
    <t>CIP Return Pump for RMSTs</t>
  </si>
  <si>
    <t>Molten Butter Transfer Pump to Molten Butter Storage Tank (Screw Type)</t>
  </si>
  <si>
    <t>Molten Butter Transfer Pump (Screw Type)</t>
  </si>
  <si>
    <t>RCM Water Heater PHE</t>
  </si>
  <si>
    <t>Two Tier Crate Conveying System</t>
  </si>
  <si>
    <t>Butter Milk Chiller PHE for Recirculation / Transfer &amp; Heater for CIP of CBMM</t>
  </si>
  <si>
    <t>Dosing Tanks for Acid and Lye</t>
  </si>
  <si>
    <t>540 CFM</t>
  </si>
  <si>
    <t>MS Air Receiver with all accessories</t>
  </si>
  <si>
    <t>Mtr.</t>
  </si>
  <si>
    <t>76 mm x 6 Mtr.</t>
  </si>
  <si>
    <t>38 mm x 4 Mtr.</t>
  </si>
  <si>
    <t xml:space="preserve">40 KLPH </t>
  </si>
  <si>
    <t xml:space="preserve">30 KLPH </t>
  </si>
  <si>
    <t>50.8 mm x 6 Mtr.</t>
  </si>
  <si>
    <t>1500 Kg./Hr.</t>
  </si>
  <si>
    <t>600 Kg.</t>
  </si>
  <si>
    <t>350 Ltr.</t>
  </si>
  <si>
    <t>51 mm x 4 Mtr.</t>
  </si>
  <si>
    <t>63.5 mm x 4 Mtr.</t>
  </si>
  <si>
    <t>Jobs</t>
  </si>
  <si>
    <t>Duplex PIP Type Inline Strainer (with Manual Changeover)</t>
  </si>
  <si>
    <t>SS De-aeration Vessel</t>
  </si>
  <si>
    <t>Raw Milk Storage Silo with Bird Cage</t>
  </si>
  <si>
    <t>Raw Milk Tanker Dispatch/Intersilo Transfer Pump (VFD Operated)</t>
  </si>
  <si>
    <t>Duplex PIP Type Inline Strainer (with Auto Changeover) for Pasteurizers</t>
  </si>
  <si>
    <t>Milk Pasteurizer with all Accessories</t>
  </si>
  <si>
    <t>Self Cleaning Type Tri Purpose Centrifuge with Auto Fat Standardization Unit</t>
  </si>
  <si>
    <t>Hydro Flow unit for Separators (1 W + 1 S Pump)</t>
  </si>
  <si>
    <t>Electric Hoist with Monorail Structure for Separators</t>
  </si>
  <si>
    <t>Pasteurized Milk Silo with Bird Cage</t>
  </si>
  <si>
    <t>Pasteurized Milk Tanker Dispatch / Inter Silo / Re-Processing Pump (VFD Operated)</t>
  </si>
  <si>
    <t>Raw/Pasteurized Milk Dispatch Chiller</t>
  </si>
  <si>
    <t>CIP Return Pump for PMSTs</t>
  </si>
  <si>
    <t>Raw / Past. Milk Tanker Dispatch Hose With SS Fittings
1 Hose of 6 Mtr. Length for each Dispatch Line
Hose Size : 76 mm dia. x 6 M each</t>
  </si>
  <si>
    <t>Cream Transfer Pump to Cream Pasteurizer (VFD Operated) - Centrifugal</t>
  </si>
  <si>
    <t>Cream Pasteurizer with all Accessories</t>
  </si>
  <si>
    <t>Cream Transfer cum Dosing Pump to MPL / RMST / Dispatch (Lobe Type)</t>
  </si>
  <si>
    <t>Pasteurized Cream Tanker Dispatch Hose With SS Fittings
1 Hose of 6 Mtr. Length for each Dispatch Line
Hose Size : 50.8 mm dia. x 6 M each</t>
  </si>
  <si>
    <t>Molten Butter Storage Tank (Consider UOM as "No." in place of "Lot")</t>
  </si>
  <si>
    <t>Duplex Bucket Type Filter (with Manual Changeover)</t>
  </si>
  <si>
    <t>Reconstituted Milk Storage Tank</t>
  </si>
  <si>
    <t>Reconstituted Milk Recirculation Pump (VFD Operated)</t>
  </si>
  <si>
    <t>Recirculation Milk Transfer Pump to MPL / RMST (VFD Operated)</t>
  </si>
  <si>
    <t>Recirculation Milk Transfer Pump to Curd Milk Pasteurizer (VFD Operated)</t>
  </si>
  <si>
    <t>CIP Return Pump for Pouch Packing Machines</t>
  </si>
  <si>
    <t>Jaw Cooling Water Balance Tank with float &amp; Accessories</t>
  </si>
  <si>
    <t>Jaw Cooling Water Transfer Pump - VFD Operated (1W + 1S)</t>
  </si>
  <si>
    <t>Rinse Milk Transfer Pump to RMST / Recon. / MPL (VFD Operated)</t>
  </si>
  <si>
    <t>PIP Type Duplex Strainer (with Auto Changeover)</t>
  </si>
  <si>
    <t>Butter Milk Transfer Pump to RMST (VFD Operated)</t>
  </si>
  <si>
    <t>PHE Chiller for Water Cooling</t>
  </si>
  <si>
    <t>Butter Hopper with Auger, Covers, Level sensors controls etc.</t>
  </si>
  <si>
    <t>Butter Transfer Lobe Pump (VFD operated) (Lobe Type)</t>
  </si>
  <si>
    <t>CIP Return Pump in parallel to Butter Transfer Lobe Pump</t>
  </si>
  <si>
    <t>Butter Carton Handling Trolley - SS</t>
  </si>
  <si>
    <t>Chemical Tanker Unloading Hose for Bulk Lye and Acid
Each Hose Size : 51 mm dia. x 4 M Each</t>
  </si>
  <si>
    <t>Chemical Unloading Pump (Acid &amp; Lye)
One each for Acid and Lye Unloading 
Centrifugal Type</t>
  </si>
  <si>
    <t>Acid Dosing Pumps - Centrifugal Type (1W + 1S)</t>
  </si>
  <si>
    <t>Lye Dosing Pumps - Centrifugal Type (1W + 1S)</t>
  </si>
  <si>
    <t>Lye Flake Disolving Tank with Agitator</t>
  </si>
  <si>
    <t>Acid Carbouy Unloading Tank</t>
  </si>
  <si>
    <t>SS Tray below Acid &amp; Lye Bulk Tanks</t>
  </si>
  <si>
    <t>Duplex PIP Type Inline Strainer (with Auto Changeover)</t>
  </si>
  <si>
    <t>Recirculation Pumps for Acid &amp; Lye Solution Tanks - VFD Operated (1 for Each Tank)</t>
  </si>
  <si>
    <t>Recirculation Pumps for Lye Solution Tank - VFD Operated</t>
  </si>
  <si>
    <t>Dummy Manway Covers with Spray Ball for Tanker CIP</t>
  </si>
  <si>
    <t>Tanker CIP Supply Hoses with SS Fittings</t>
  </si>
  <si>
    <t>Tanker CIP Return Hoses with SS Fittings</t>
  </si>
  <si>
    <t>Tanker Unloading Hose with SS Fittings
2 Hoses each of 6 Mtr. Length for each Reception Line
Each hose Size : 76 mm dia. x 6 M each</t>
  </si>
  <si>
    <t>Tanker Flusing Hoses with SS Fittings
2 Hoses each of 4 Mtr. Length for each Flushing Line
Each hose Size : 38 mm dia. x 4 M each</t>
  </si>
  <si>
    <t>Service Cover of LMP &amp; all Product Section</t>
  </si>
  <si>
    <t>Stand by Operation of LMP &amp; all Product Section</t>
  </si>
  <si>
    <t>Documents/Manuals (Hard &amp; Soft Copy) of LMP &amp; all Product Section</t>
  </si>
  <si>
    <t xml:space="preserve">Erection of LMP, utilities, Misc. items + Misc. like insurance etc @ 10 % </t>
  </si>
  <si>
    <t>Chimney &amp; Ducting</t>
  </si>
  <si>
    <t>HP Steam &amp; Condensate Pipes &amp; Fittings IBR</t>
  </si>
  <si>
    <t>LP Steam Pipes &amp; Fittings</t>
  </si>
  <si>
    <t>Insulation of Steam Piping</t>
  </si>
  <si>
    <t>Multi grade filteration plant</t>
  </si>
  <si>
    <t>Raw Filtered water hydroflow system with vertical pumps (2W+1S)</t>
  </si>
  <si>
    <t>Water softening plant duplex type</t>
  </si>
  <si>
    <t>Soft Water hydroflow system with vertical pumps (1W+1S)</t>
  </si>
  <si>
    <t>RO Water hydroflow system with vertical pumps (1W+1S)</t>
  </si>
  <si>
    <t>Water pipes, valves &amp; fittings</t>
  </si>
  <si>
    <t xml:space="preserve">Land development &amp; landscaping </t>
  </si>
  <si>
    <t xml:space="preserve">Service Block- Refrigeration, Boiler, Substation, workshop etc. </t>
  </si>
  <si>
    <t>Foundation of  Milk Silos, Refrigeration equipment ,air compressors, Boilers &amp; Chimneys, DG set , Transformer  Structural Pipe Bridges, etc.</t>
  </si>
  <si>
    <t>Toilet Block</t>
  </si>
  <si>
    <t>UG sump for water</t>
  </si>
  <si>
    <t xml:space="preserve">External &amp; Internal Water Supply  </t>
  </si>
  <si>
    <t xml:space="preserve">External &amp; Internal sanitary </t>
  </si>
  <si>
    <t xml:space="preserve">EFFLUENT TREATMENT PLANT </t>
  </si>
  <si>
    <t>Misc. Items Including Smoke Detection &amp; Alarm etc. as per Statutory Requirement for Control Room, Main &amp; Reception Laboratory &amp; all IMCC/MCC Room of all sections of LMP &amp; Product Sections</t>
  </si>
  <si>
    <t>Refrigeration plant comprising of reciprocating compressors with Thermal Storage</t>
  </si>
  <si>
    <t>Regenerative Type Cream Pre-Chiller (to Chill Cream to 10 - 12 deg. C coming from Separator)</t>
  </si>
  <si>
    <t>500 Kg. / Hr.</t>
  </si>
  <si>
    <t xml:space="preserve">10 KLPH </t>
  </si>
  <si>
    <t>TANKER CIP - 2 Circuits</t>
  </si>
  <si>
    <t>25 KLPH</t>
  </si>
  <si>
    <t>RO System 25000 per hr. along with PVC Tank &amp; Pipe Lines etc. (2W)</t>
  </si>
  <si>
    <t xml:space="preserve">  - Fire Extinguishers</t>
  </si>
  <si>
    <t>LT Power &amp; control cables for Sub-Station, LMP, CIP &amp; Boilers</t>
  </si>
  <si>
    <t xml:space="preserve">HT VCB Panel </t>
  </si>
  <si>
    <t>Power control centre ( PCC ) with APFCR &amp; Capacitors</t>
  </si>
  <si>
    <t>Intelligent MCC's for Production &amp; CIP and Product Plant, Boilers</t>
  </si>
  <si>
    <t>Production Block with Tanker Bay, Milk Reception, Milk Cold Store , etc.</t>
  </si>
  <si>
    <t>1600 CPH</t>
  </si>
  <si>
    <t>External Refrigerated Air Dryer (Duplex Type) (1 W + 1S)</t>
  </si>
  <si>
    <t>Furniture For Main &amp; Reception Laboratory, all Control Rooms &amp; all Offices of LMP &amp; Product Sections</t>
  </si>
  <si>
    <t>50 MT</t>
  </si>
  <si>
    <t>Fire Fighting System for General Store &amp; Fire Extinguishers for Control Rooms, LMP, Offices etc.</t>
  </si>
  <si>
    <t>SOLAR PV WORKS (300 KW)</t>
  </si>
  <si>
    <t>Milk Transfer Pump to Paneer/FM Section (VFD Operated)</t>
  </si>
  <si>
    <t>Earthing (Power &amp; Instruments/Automation) for Sub-station, Production &amp; CIP, Powder Plant &amp; CIP, Fermented Plant, Paneer Plant, Refrigeration Plant, Cold Stores and Boilers</t>
  </si>
  <si>
    <t>Obtaining statutory approvals/clearances for Establishment of the dairy plant to be arranged out by Project Authority.</t>
  </si>
  <si>
    <t>Expenditure towards all consumables (chemicals, fuel, oil etc.), Power, Operating Man power, Packaging Materials etc. required for testing, commissioning &amp; trial runs not considered in the cost estimation.</t>
  </si>
  <si>
    <t>Solar PV works of 300 KW is considered in the estimate.</t>
  </si>
  <si>
    <t xml:space="preserve">It is assumed that the quality and availability of power (11 KV) supply at the proposed project site is good. </t>
  </si>
  <si>
    <t>WTP Configuration may change based on Raw Water Quality Parameters.</t>
  </si>
  <si>
    <t xml:space="preserve">After finalisation of of detailed engineering, design of the plant necessary re- appropriation in A level summary would be done. </t>
  </si>
  <si>
    <t>TSF ON SL. Nos. 1 - 6 @ 4.25%</t>
  </si>
  <si>
    <t>Admin block</t>
  </si>
  <si>
    <t>WA &amp; Canteen block</t>
  </si>
  <si>
    <t>Say</t>
  </si>
  <si>
    <t>TOTAL PROJECT COST (Rs. Lakhs)</t>
  </si>
  <si>
    <t>Civil contingencies @ 5%</t>
  </si>
  <si>
    <t>VFD driven non-lubricating screw Air Compressor in accoustic enclosure &amp; with after cooler &amp; automatic moisture separator (1 W + 1S)</t>
  </si>
  <si>
    <t>Reception &amp; Main Laboratory Equipment</t>
  </si>
  <si>
    <t>Chilled Water based Cooling Units for all Control Room, Main &amp; Reception Laboratory, all IMCC/MCC Rooms, Product Packing Rooms of all sections of LMP &amp; Product Sections</t>
  </si>
  <si>
    <t>Split AC Units for Reception Laboratory, Offices &amp; Conference Rooms of LMP &amp; Product Sections</t>
  </si>
  <si>
    <t>Hygiene Station (SS 304)</t>
  </si>
  <si>
    <t>Process and Production contingencies @ 5%</t>
  </si>
  <si>
    <t>Service equipment contingencies @ 5%</t>
  </si>
  <si>
    <t>Miscellaneous equipment contingencies @ 5%</t>
  </si>
  <si>
    <t>Erection contingencies @ 5%</t>
  </si>
  <si>
    <t>PROCESS CIP - 2 Circuits</t>
  </si>
  <si>
    <t>30 MTPD Powder Plant with 45 days storage</t>
  </si>
  <si>
    <t xml:space="preserve">30 MTPD Powder Plant </t>
  </si>
  <si>
    <t xml:space="preserve">* </t>
  </si>
  <si>
    <t>DRYER</t>
  </si>
  <si>
    <t>CONVEYING, PACKAGING &amp; STORAGE</t>
  </si>
  <si>
    <t>CIP, EIA, SPARES &amp; ANCILLARIES</t>
  </si>
  <si>
    <t xml:space="preserve">Boiler with auto blow down, Air preheating </t>
  </si>
  <si>
    <t>8 TPH</t>
  </si>
  <si>
    <t xml:space="preserve">ESP </t>
  </si>
  <si>
    <t>Fuel handling, storage &amp; feeding system</t>
  </si>
  <si>
    <t>Mechanised ash handling system</t>
  </si>
  <si>
    <t>Steam flow meter</t>
  </si>
  <si>
    <t>Automation of steam generation section</t>
  </si>
  <si>
    <t>Condensate collection and pumping system</t>
  </si>
  <si>
    <t>Pouch Filling Machines for Fermented procuct (curd, BM, Lassi) with TTO Printer</t>
  </si>
  <si>
    <t>Ghee tin filling machine for 1 L tin</t>
  </si>
  <si>
    <t>20 Tin/min</t>
  </si>
  <si>
    <t>SMST &amp; EVAPORATOR (TVR)</t>
  </si>
  <si>
    <t>SMP Godown</t>
  </si>
  <si>
    <t>Butter Deep Freezer</t>
  </si>
  <si>
    <t>FERMENTED CIP - 2 Circuits</t>
  </si>
  <si>
    <t>Curd Milk Transfer Pump to Curd Milk Heater (VFD Operated)</t>
  </si>
  <si>
    <t>Curd Milk / RO Water Pasteurizer with all Accessories</t>
  </si>
  <si>
    <t>Curd Milk Heater with Hot Water Generation System</t>
  </si>
  <si>
    <t>Innoculation Tank</t>
  </si>
  <si>
    <t xml:space="preserve">Curd Cup Filling Machine </t>
  </si>
  <si>
    <t>2400 CPH</t>
  </si>
  <si>
    <t>Leaky Pouch Collection System</t>
  </si>
  <si>
    <t>Curd Setting Tanks for Chhach</t>
  </si>
  <si>
    <t>Curd Setting Tanks for Lassi</t>
  </si>
  <si>
    <t>Lassi Transfer Pump to HMST</t>
  </si>
  <si>
    <t>Recirculation Pump for Curd Settling Tank</t>
  </si>
  <si>
    <t>5 KLPh</t>
  </si>
  <si>
    <t>Curd Breaking Pump</t>
  </si>
  <si>
    <t>CIP Return Pump for Curd Settling Tank</t>
  </si>
  <si>
    <t>Past. RO Water Storage Tank</t>
  </si>
  <si>
    <t>RO Water Transfer Pump</t>
  </si>
  <si>
    <t>PHE Chiller for Lassi</t>
  </si>
  <si>
    <t xml:space="preserve">PHE Chiller for Butter Milk </t>
  </si>
  <si>
    <t>Butter Milk Transfer Pump to Thermizer</t>
  </si>
  <si>
    <t>Butter Milk Thermizer</t>
  </si>
  <si>
    <t>Butter Milk Horizontal Storage Tank</t>
  </si>
  <si>
    <t>FERMENTED SECTION</t>
  </si>
  <si>
    <t>20 KL</t>
  </si>
  <si>
    <t>Past. Curd Milk Storage Silo</t>
  </si>
  <si>
    <t>Sugar Tank &amp; Dissolving Unit with recirculation pump</t>
  </si>
  <si>
    <t>PANEER SECTION</t>
  </si>
  <si>
    <t>Paneer Vat</t>
  </si>
  <si>
    <t>1000 L</t>
  </si>
  <si>
    <t>Citric Acid Tank</t>
  </si>
  <si>
    <t>Transfer pump</t>
  </si>
  <si>
    <t>Paneer Hoops</t>
  </si>
  <si>
    <r>
      <t>Paneer conveying</t>
    </r>
    <r>
      <rPr>
        <sz val="8"/>
        <color rgb="FF000000"/>
        <rFont val="Arial"/>
        <family val="2"/>
      </rPr>
      <t xml:space="preserve">
</t>
    </r>
  </si>
  <si>
    <t>Pneumatic paneer Press</t>
  </si>
  <si>
    <t>Block cutter</t>
  </si>
  <si>
    <t xml:space="preserve">Paneer cooling tank
</t>
  </si>
  <si>
    <t>2000 L</t>
  </si>
  <si>
    <t>Vacuum packing machine</t>
  </si>
  <si>
    <t>Whey handling system</t>
  </si>
  <si>
    <t>Paneer Silo</t>
  </si>
  <si>
    <t xml:space="preserve">33 KV/440 V, 2000 KVA on-load transformers </t>
  </si>
  <si>
    <t>Paneer Milk Pasteurizer and accessories</t>
  </si>
  <si>
    <t>Transfer pump Silo to pasturizer</t>
  </si>
  <si>
    <t>CIP Return pump</t>
  </si>
  <si>
    <t>The estimate is prepared based on the current prices prevailing in the market (May-2026). In case of delay in approval of the project, the cost estimate shall increase based on the market condition.</t>
  </si>
  <si>
    <t>Cost of bringing 33 KV Power Lines upto Dairy premises is not considered in the estimate.</t>
  </si>
  <si>
    <t>At Powder Plant, Design Product - SMP is consider with provision to manufacture WMP and DW. Packaging under 25 Kg Semi Automatic Machine is envisaged under estimate. No Lecithination &amp; Powder Storage (under Silos) is consider in estimate</t>
  </si>
  <si>
    <t>TOTAL CIVIL ESTIMATE</t>
  </si>
  <si>
    <t>Sl. No.</t>
  </si>
  <si>
    <t>AMOUNT (in Lakhs Rs.)</t>
  </si>
  <si>
    <t>A</t>
  </si>
  <si>
    <t>6A</t>
  </si>
  <si>
    <t>6B</t>
  </si>
  <si>
    <t>6C</t>
  </si>
  <si>
    <t>8A</t>
  </si>
  <si>
    <t>8B</t>
  </si>
  <si>
    <t>8C</t>
  </si>
  <si>
    <t>8D</t>
  </si>
  <si>
    <t>TOTAL FOR PROCESS AND PRODUCT EQUIPMENT SECTION (A)</t>
  </si>
  <si>
    <t>B</t>
  </si>
  <si>
    <t>Two Pole Structure</t>
  </si>
  <si>
    <t>TOTAL FOR SERVICE EQUIPMENT (B)</t>
  </si>
  <si>
    <t>C</t>
  </si>
  <si>
    <t>TOTAL FOR MISCELLANEOUS EQUIPMENT ( C)</t>
  </si>
  <si>
    <t>D</t>
  </si>
  <si>
    <t>TOTAL FOR ERECTION (D)</t>
  </si>
  <si>
    <t>COST ESTIMATE FOR EQUIPMENT, MACHINERIES AND MEP WORK</t>
  </si>
  <si>
    <t>COST ESTIMATE FOR CIVIL WORK</t>
  </si>
  <si>
    <t>Concrete roads /Hard Park</t>
  </si>
  <si>
    <t>SMP Godown of 1500 MT storage capacity and Butter Deep Freeze for 1000 MT storage capacity has been considered.</t>
  </si>
  <si>
    <r>
      <t>Cost of 2 nos.</t>
    </r>
    <r>
      <rPr>
        <b/>
        <sz val="10"/>
        <color theme="1"/>
        <rFont val="Bookman Old Style"/>
        <family val="1"/>
      </rPr>
      <t xml:space="preserve"> 8 TPH</t>
    </r>
    <r>
      <rPr>
        <b/>
        <sz val="10"/>
        <rFont val="Bookman Old Style"/>
        <family val="1"/>
      </rPr>
      <t xml:space="preserve"> Solid Fuel Boiler has been considered in the estimate.</t>
    </r>
  </si>
  <si>
    <t>"A" LEVEL SUMMARY OF COST ESTIMATE</t>
  </si>
  <si>
    <t>Rs. 358 Cr.</t>
  </si>
  <si>
    <t>Architects &amp; structural consultants fees @ 3% of civil works</t>
  </si>
  <si>
    <t>DUMMY DATA</t>
  </si>
  <si>
    <t>The estimate has been prepared for capacities of Liquid Milk Processing . 
Milk Processing: 5 LLPD
Liquid Milk Packing: 1.3 LLPD
Fermented section: 25 TLPD
Paneer Section: 2 MTPD
Ghee Section: 2 MTPD
Powder Plant: 30 MTPD
Ice-cream (only space considered in civil building, shifting and installation of equipment from old dairy to be done by Project Authority)
The capacity &amp; quantity of equipment mentioned are tentative. Hence, It may change at later stage to meet the above requirement.  The requirement may get modified keeping in view the budget constraint/ escalation of cost in future.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</si>
</sst>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#,##0;[Red]#,##0"/>
    <numFmt numFmtId="166" formatCode="_ * #,##0_ ;_ * \-#,##0_ ;_ * &quot;-&quot;??_ ;_ @_ 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2"/>
      <name val="Bookman Old Style"/>
      <family val="1"/>
    </font>
    <font>
      <sz val="12"/>
      <name val="Bookman Old Style"/>
      <family val="1"/>
    </font>
    <font>
      <b/>
      <u/>
      <sz val="12"/>
      <name val="Bookman Old Style"/>
      <family val="1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name val="Bookman Old Style"/>
      <family val="1"/>
    </font>
    <font>
      <b/>
      <sz val="11"/>
      <name val="Bookman Old Style"/>
      <family val="1"/>
    </font>
    <font>
      <b/>
      <u/>
      <sz val="10.5"/>
      <name val="Arial"/>
      <family val="2"/>
    </font>
    <font>
      <sz val="10"/>
      <name val="Tahoma"/>
      <family val="2"/>
    </font>
    <font>
      <sz val="11"/>
      <name val="Bookman Old Style"/>
      <family val="1"/>
    </font>
    <font>
      <sz val="10"/>
      <name val="Bookman Old Style"/>
      <family val="1"/>
    </font>
    <font>
      <sz val="11"/>
      <color rgb="FFFF0000"/>
      <name val="Bookman Old Style"/>
      <family val="1"/>
    </font>
    <font>
      <b/>
      <sz val="11"/>
      <color rgb="FFFF0000"/>
      <name val="Bookman Old Style"/>
      <family val="1"/>
    </font>
    <font>
      <sz val="8"/>
      <color rgb="FF000000"/>
      <name val="Arial"/>
      <family val="2"/>
    </font>
    <font>
      <sz val="10"/>
      <name val="Arial"/>
      <family val="2"/>
    </font>
    <font>
      <b/>
      <sz val="10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12" fillId="0" borderId="0"/>
    <xf numFmtId="0" fontId="5" fillId="0" borderId="0"/>
    <xf numFmtId="0" fontId="5" fillId="0" borderId="0"/>
    <xf numFmtId="0" fontId="5" fillId="0" borderId="0"/>
    <xf numFmtId="164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2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2" fontId="3" fillId="0" borderId="0" xfId="0" applyNumberFormat="1" applyFont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2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/>
    <xf numFmtId="2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" fontId="6" fillId="0" borderId="0" xfId="0" applyNumberFormat="1" applyFont="1" applyAlignment="1">
      <alignment horizontal="center"/>
    </xf>
    <xf numFmtId="0" fontId="2" fillId="0" borderId="0" xfId="0" applyFont="1" applyBorder="1"/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vertical="top" wrapText="1"/>
    </xf>
    <xf numFmtId="0" fontId="3" fillId="0" borderId="7" xfId="0" applyFont="1" applyBorder="1"/>
    <xf numFmtId="0" fontId="3" fillId="0" borderId="7" xfId="0" applyFont="1" applyBorder="1" applyAlignment="1">
      <alignment horizontal="justify" vertical="top" wrapText="1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1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164" fontId="2" fillId="0" borderId="7" xfId="0" quotePrefix="1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wrapText="1"/>
    </xf>
    <xf numFmtId="0" fontId="2" fillId="0" borderId="7" xfId="0" applyFont="1" applyBorder="1" applyAlignment="1">
      <alignment vertical="top" wrapText="1"/>
    </xf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3" fillId="0" borderId="11" xfId="0" applyFont="1" applyBorder="1"/>
    <xf numFmtId="0" fontId="7" fillId="0" borderId="0" xfId="0" applyFont="1" applyAlignment="1">
      <alignment horizontal="center"/>
    </xf>
    <xf numFmtId="0" fontId="11" fillId="0" borderId="0" xfId="0" applyFont="1" applyBorder="1" applyAlignment="1">
      <alignment vertical="top" wrapText="1"/>
    </xf>
    <xf numFmtId="4" fontId="2" fillId="0" borderId="14" xfId="0" applyNumberFormat="1" applyFont="1" applyBorder="1"/>
    <xf numFmtId="1" fontId="2" fillId="0" borderId="6" xfId="0" applyNumberFormat="1" applyFont="1" applyBorder="1" applyAlignment="1">
      <alignment horizontal="center"/>
    </xf>
    <xf numFmtId="0" fontId="0" fillId="0" borderId="0" xfId="0" applyAlignment="1">
      <alignment vertical="top"/>
    </xf>
    <xf numFmtId="0" fontId="2" fillId="0" borderId="12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4" fontId="2" fillId="0" borderId="16" xfId="0" applyNumberFormat="1" applyFont="1" applyBorder="1"/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0" fillId="0" borderId="7" xfId="0" applyBorder="1"/>
    <xf numFmtId="0" fontId="6" fillId="0" borderId="7" xfId="0" applyFont="1" applyBorder="1"/>
    <xf numFmtId="0" fontId="5" fillId="0" borderId="7" xfId="0" applyFont="1" applyBorder="1"/>
    <xf numFmtId="0" fontId="5" fillId="2" borderId="7" xfId="0" applyFont="1" applyFill="1" applyBorder="1"/>
    <xf numFmtId="0" fontId="5" fillId="2" borderId="7" xfId="0" applyFont="1" applyFill="1" applyBorder="1" applyAlignment="1">
      <alignment vertical="top" wrapText="1"/>
    </xf>
    <xf numFmtId="0" fontId="5" fillId="2" borderId="7" xfId="0" applyFont="1" applyFill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7" xfId="0" applyFont="1" applyBorder="1" applyAlignment="1">
      <alignment vertical="top" wrapText="1"/>
    </xf>
    <xf numFmtId="2" fontId="2" fillId="0" borderId="0" xfId="0" applyNumberFormat="1" applyFont="1"/>
    <xf numFmtId="0" fontId="3" fillId="0" borderId="0" xfId="0" applyFont="1" applyAlignment="1">
      <alignment vertical="top"/>
    </xf>
    <xf numFmtId="0" fontId="0" fillId="0" borderId="7" xfId="0" applyBorder="1" applyAlignment="1">
      <alignment wrapText="1"/>
    </xf>
    <xf numFmtId="1" fontId="3" fillId="0" borderId="7" xfId="0" applyNumberFormat="1" applyFont="1" applyBorder="1"/>
    <xf numFmtId="0" fontId="3" fillId="0" borderId="8" xfId="0" applyFont="1" applyBorder="1"/>
    <xf numFmtId="0" fontId="5" fillId="0" borderId="7" xfId="0" applyFont="1" applyBorder="1" applyAlignment="1">
      <alignment horizontal="center"/>
    </xf>
    <xf numFmtId="0" fontId="6" fillId="0" borderId="7" xfId="0" applyFont="1" applyBorder="1" applyAlignment="1">
      <alignment vertical="top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Border="1"/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164" fontId="2" fillId="0" borderId="7" xfId="0" quotePrefix="1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7" xfId="0" applyFont="1" applyFill="1" applyBorder="1"/>
    <xf numFmtId="1" fontId="2" fillId="0" borderId="7" xfId="0" applyNumberFormat="1" applyFont="1" applyBorder="1"/>
    <xf numFmtId="0" fontId="3" fillId="0" borderId="0" xfId="5" applyFont="1"/>
    <xf numFmtId="0" fontId="3" fillId="0" borderId="0" xfId="5" applyFont="1" applyAlignment="1">
      <alignment horizontal="center"/>
    </xf>
    <xf numFmtId="0" fontId="2" fillId="0" borderId="7" xfId="5" applyFont="1" applyFill="1" applyBorder="1"/>
    <xf numFmtId="0" fontId="2" fillId="0" borderId="7" xfId="5" applyFont="1" applyFill="1" applyBorder="1" applyAlignment="1">
      <alignment horizontal="center"/>
    </xf>
    <xf numFmtId="1" fontId="2" fillId="0" borderId="7" xfId="5" applyNumberFormat="1" applyFont="1" applyFill="1" applyBorder="1" applyAlignment="1">
      <alignment horizontal="center"/>
    </xf>
    <xf numFmtId="0" fontId="3" fillId="0" borderId="7" xfId="5" applyFont="1" applyFill="1" applyBorder="1"/>
    <xf numFmtId="1" fontId="2" fillId="0" borderId="7" xfId="5" applyNumberFormat="1" applyFont="1" applyFill="1" applyBorder="1"/>
    <xf numFmtId="0" fontId="3" fillId="0" borderId="7" xfId="5" applyFont="1" applyFill="1" applyBorder="1" applyAlignment="1">
      <alignment vertical="center"/>
    </xf>
    <xf numFmtId="1" fontId="3" fillId="0" borderId="7" xfId="5" applyNumberFormat="1" applyFont="1" applyFill="1" applyBorder="1"/>
    <xf numFmtId="0" fontId="2" fillId="0" borderId="7" xfId="5" applyFont="1" applyFill="1" applyBorder="1" applyAlignment="1">
      <alignment vertical="center"/>
    </xf>
    <xf numFmtId="1" fontId="3" fillId="0" borderId="7" xfId="5" applyNumberFormat="1" applyFont="1" applyFill="1" applyBorder="1" applyAlignment="1">
      <alignment vertical="center"/>
    </xf>
    <xf numFmtId="0" fontId="3" fillId="0" borderId="0" xfId="5" applyFont="1" applyAlignment="1">
      <alignment vertical="center"/>
    </xf>
    <xf numFmtId="0" fontId="3" fillId="0" borderId="7" xfId="5" applyFont="1" applyFill="1" applyBorder="1" applyAlignment="1">
      <alignment horizontal="center" vertical="center"/>
    </xf>
    <xf numFmtId="0" fontId="3" fillId="0" borderId="7" xfId="5" applyFont="1" applyFill="1" applyBorder="1" applyAlignment="1">
      <alignment horizontal="center"/>
    </xf>
    <xf numFmtId="1" fontId="11" fillId="0" borderId="7" xfId="5" applyNumberFormat="1" applyFont="1" applyFill="1" applyBorder="1" applyAlignment="1">
      <alignment vertical="top" wrapText="1"/>
    </xf>
    <xf numFmtId="0" fontId="3" fillId="0" borderId="0" xfId="5" applyFont="1" applyFill="1"/>
    <xf numFmtId="0" fontId="11" fillId="0" borderId="7" xfId="5" applyFont="1" applyFill="1" applyBorder="1" applyAlignment="1">
      <alignment vertical="top" wrapText="1"/>
    </xf>
    <xf numFmtId="1" fontId="2" fillId="0" borderId="7" xfId="5" applyNumberFormat="1" applyFont="1" applyFill="1" applyBorder="1" applyAlignment="1">
      <alignment vertical="top" wrapText="1"/>
    </xf>
    <xf numFmtId="0" fontId="3" fillId="0" borderId="0" xfId="5" applyFont="1" applyAlignment="1">
      <alignment wrapText="1"/>
    </xf>
    <xf numFmtId="0" fontId="3" fillId="0" borderId="7" xfId="5" applyFont="1" applyFill="1" applyBorder="1" applyAlignment="1">
      <alignment horizontal="left" vertical="center"/>
    </xf>
    <xf numFmtId="0" fontId="3" fillId="0" borderId="7" xfId="5" applyFont="1" applyFill="1" applyBorder="1" applyAlignment="1">
      <alignment horizontal="right" vertical="center"/>
    </xf>
    <xf numFmtId="1" fontId="2" fillId="0" borderId="7" xfId="5" applyNumberFormat="1" applyFont="1" applyFill="1" applyBorder="1" applyAlignment="1">
      <alignment vertical="center"/>
    </xf>
    <xf numFmtId="1" fontId="3" fillId="0" borderId="0" xfId="0" applyNumberFormat="1" applyFont="1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37" fontId="12" fillId="3" borderId="7" xfId="5" applyNumberFormat="1" applyFont="1" applyFill="1" applyBorder="1" applyAlignment="1">
      <alignment horizontal="center" vertical="center" wrapText="1"/>
    </xf>
    <xf numFmtId="4" fontId="12" fillId="3" borderId="7" xfId="5" applyNumberFormat="1" applyFont="1" applyFill="1" applyBorder="1" applyAlignment="1">
      <alignment horizontal="center" vertical="center" wrapText="1"/>
    </xf>
    <xf numFmtId="37" fontId="12" fillId="3" borderId="7" xfId="5" applyNumberFormat="1" applyFont="1" applyFill="1" applyBorder="1" applyAlignment="1">
      <alignment vertical="center" wrapText="1"/>
    </xf>
    <xf numFmtId="37" fontId="12" fillId="0" borderId="7" xfId="5" applyNumberFormat="1" applyFont="1" applyBorder="1" applyAlignment="1">
      <alignment vertical="center" wrapText="1"/>
    </xf>
    <xf numFmtId="37" fontId="12" fillId="0" borderId="7" xfId="5" applyNumberFormat="1" applyFont="1" applyBorder="1" applyAlignment="1">
      <alignment horizontal="center" vertical="center" wrapText="1"/>
    </xf>
    <xf numFmtId="4" fontId="12" fillId="0" borderId="7" xfId="5" applyNumberFormat="1" applyFont="1" applyBorder="1" applyAlignment="1">
      <alignment horizontal="center" vertical="center" wrapText="1"/>
    </xf>
    <xf numFmtId="0" fontId="12" fillId="0" borderId="7" xfId="5" applyFont="1" applyBorder="1" applyAlignment="1">
      <alignment horizontal="justify" vertical="center"/>
    </xf>
    <xf numFmtId="4" fontId="12" fillId="0" borderId="7" xfId="5" applyNumberFormat="1" applyFont="1" applyBorder="1" applyAlignment="1">
      <alignment horizontal="center" vertical="top" wrapText="1"/>
    </xf>
    <xf numFmtId="4" fontId="12" fillId="0" borderId="7" xfId="8" applyNumberFormat="1" applyFont="1" applyFill="1" applyBorder="1" applyAlignment="1">
      <alignment horizontal="center" vertical="center" wrapText="1"/>
    </xf>
    <xf numFmtId="37" fontId="12" fillId="0" borderId="7" xfId="0" applyNumberFormat="1" applyFont="1" applyFill="1" applyBorder="1" applyAlignment="1">
      <alignment vertical="center" wrapText="1"/>
    </xf>
    <xf numFmtId="37" fontId="12" fillId="0" borderId="7" xfId="0" applyNumberFormat="1" applyFont="1" applyFill="1" applyBorder="1" applyAlignment="1">
      <alignment horizontal="center" vertical="center" wrapText="1"/>
    </xf>
    <xf numFmtId="165" fontId="12" fillId="0" borderId="7" xfId="0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2" fillId="0" borderId="7" xfId="0" applyFont="1" applyFill="1" applyBorder="1" applyAlignment="1">
      <alignment vertical="top" wrapText="1"/>
    </xf>
    <xf numFmtId="0" fontId="12" fillId="0" borderId="7" xfId="0" applyFont="1" applyFill="1" applyBorder="1" applyAlignment="1">
      <alignment vertical="center" wrapText="1"/>
    </xf>
    <xf numFmtId="0" fontId="12" fillId="0" borderId="7" xfId="0" applyFont="1" applyFill="1" applyBorder="1" applyAlignment="1">
      <alignment horizontal="right" vertical="center" wrapText="1"/>
    </xf>
    <xf numFmtId="2" fontId="12" fillId="0" borderId="0" xfId="0" applyNumberFormat="1" applyFont="1" applyFill="1" applyAlignment="1">
      <alignment vertical="top" wrapText="1"/>
    </xf>
    <xf numFmtId="0" fontId="12" fillId="0" borderId="7" xfId="0" quotePrefix="1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vertical="top" wrapText="1"/>
    </xf>
    <xf numFmtId="0" fontId="12" fillId="0" borderId="7" xfId="7" applyNumberFormat="1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justify" vertical="center" wrapText="1"/>
    </xf>
    <xf numFmtId="0" fontId="12" fillId="0" borderId="7" xfId="0" quotePrefix="1" applyFont="1" applyFill="1" applyBorder="1" applyAlignment="1">
      <alignment vertical="center" wrapText="1"/>
    </xf>
    <xf numFmtId="0" fontId="12" fillId="0" borderId="7" xfId="0" applyFont="1" applyFill="1" applyBorder="1" applyAlignment="1">
      <alignment horizontal="center" wrapText="1"/>
    </xf>
    <xf numFmtId="0" fontId="9" fillId="0" borderId="7" xfId="0" applyFont="1" applyFill="1" applyBorder="1" applyAlignment="1">
      <alignment horizontal="center" vertical="center" wrapText="1"/>
    </xf>
    <xf numFmtId="4" fontId="12" fillId="0" borderId="0" xfId="0" applyNumberFormat="1" applyFont="1" applyFill="1" applyAlignment="1">
      <alignment vertical="top" wrapText="1"/>
    </xf>
    <xf numFmtId="4" fontId="12" fillId="0" borderId="7" xfId="0" applyNumberFormat="1" applyFont="1" applyFill="1" applyBorder="1" applyAlignment="1">
      <alignment vertical="top" wrapText="1"/>
    </xf>
    <xf numFmtId="0" fontId="12" fillId="0" borderId="7" xfId="0" applyFont="1" applyBorder="1" applyAlignment="1">
      <alignment vertical="top" wrapText="1"/>
    </xf>
    <xf numFmtId="0" fontId="12" fillId="0" borderId="7" xfId="0" applyFont="1" applyBorder="1" applyAlignment="1">
      <alignment horizontal="center" vertical="top" wrapText="1"/>
    </xf>
    <xf numFmtId="0" fontId="12" fillId="0" borderId="7" xfId="0" applyFont="1" applyFill="1" applyBorder="1" applyAlignment="1">
      <alignment horizontal="center" vertical="top" wrapText="1"/>
    </xf>
    <xf numFmtId="4" fontId="12" fillId="0" borderId="7" xfId="0" applyNumberFormat="1" applyFont="1" applyFill="1" applyBorder="1" applyAlignment="1">
      <alignment horizontal="right" vertical="top" wrapText="1"/>
    </xf>
    <xf numFmtId="0" fontId="12" fillId="2" borderId="7" xfId="0" applyFont="1" applyFill="1" applyBorder="1" applyAlignment="1">
      <alignment vertical="top" wrapText="1"/>
    </xf>
    <xf numFmtId="37" fontId="12" fillId="0" borderId="7" xfId="5" applyNumberFormat="1" applyFont="1" applyFill="1" applyBorder="1" applyAlignment="1">
      <alignment horizontal="center" vertical="center" wrapText="1"/>
    </xf>
    <xf numFmtId="37" fontId="12" fillId="0" borderId="7" xfId="5" applyNumberFormat="1" applyFont="1" applyFill="1" applyBorder="1" applyAlignment="1">
      <alignment vertical="center" wrapText="1"/>
    </xf>
    <xf numFmtId="4" fontId="12" fillId="0" borderId="7" xfId="5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7" xfId="0" quotePrefix="1" applyFont="1" applyFill="1" applyBorder="1" applyAlignment="1">
      <alignment horizontal="center" vertical="center" wrapText="1"/>
    </xf>
    <xf numFmtId="2" fontId="3" fillId="0" borderId="0" xfId="0" applyNumberFormat="1" applyFont="1" applyBorder="1"/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2" fontId="2" fillId="0" borderId="7" xfId="5" applyNumberFormat="1" applyFont="1" applyFill="1" applyBorder="1"/>
    <xf numFmtId="0" fontId="3" fillId="0" borderId="7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vertical="top" wrapText="1"/>
    </xf>
    <xf numFmtId="1" fontId="3" fillId="0" borderId="7" xfId="0" applyNumberFormat="1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vertical="top" wrapText="1"/>
    </xf>
    <xf numFmtId="166" fontId="3" fillId="2" borderId="7" xfId="7" applyNumberFormat="1" applyFont="1" applyFill="1" applyBorder="1" applyAlignment="1">
      <alignment horizontal="center" vertical="top" wrapText="1"/>
    </xf>
    <xf numFmtId="37" fontId="12" fillId="3" borderId="7" xfId="0" applyNumberFormat="1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top" wrapText="1"/>
    </xf>
    <xf numFmtId="0" fontId="9" fillId="0" borderId="7" xfId="0" applyFont="1" applyFill="1" applyBorder="1" applyAlignment="1">
      <alignment vertical="center" wrapText="1"/>
    </xf>
    <xf numFmtId="0" fontId="9" fillId="0" borderId="7" xfId="0" applyFont="1" applyFill="1" applyBorder="1" applyAlignment="1">
      <alignment vertical="top" wrapText="1"/>
    </xf>
    <xf numFmtId="164" fontId="9" fillId="0" borderId="7" xfId="0" quotePrefix="1" applyNumberFormat="1" applyFont="1" applyFill="1" applyBorder="1" applyAlignment="1">
      <alignment wrapText="1"/>
    </xf>
    <xf numFmtId="4" fontId="9" fillId="0" borderId="7" xfId="0" applyNumberFormat="1" applyFont="1" applyFill="1" applyBorder="1" applyAlignment="1">
      <alignment horizontal="right" vertical="center" wrapText="1"/>
    </xf>
    <xf numFmtId="4" fontId="12" fillId="0" borderId="7" xfId="0" applyNumberFormat="1" applyFont="1" applyFill="1" applyBorder="1" applyAlignment="1">
      <alignment horizontal="center" vertical="center" wrapText="1"/>
    </xf>
    <xf numFmtId="37" fontId="12" fillId="0" borderId="7" xfId="5" applyNumberFormat="1" applyFont="1" applyBorder="1" applyAlignment="1">
      <alignment horizontal="left" vertical="center" wrapText="1"/>
    </xf>
    <xf numFmtId="164" fontId="9" fillId="0" borderId="7" xfId="0" quotePrefix="1" applyNumberFormat="1" applyFont="1" applyFill="1" applyBorder="1" applyAlignment="1">
      <alignment horizontal="center" vertical="center" wrapText="1"/>
    </xf>
    <xf numFmtId="4" fontId="9" fillId="0" borderId="7" xfId="0" applyNumberFormat="1" applyFont="1" applyFill="1" applyBorder="1" applyAlignment="1">
      <alignment vertical="center" wrapText="1"/>
    </xf>
    <xf numFmtId="4" fontId="12" fillId="0" borderId="7" xfId="0" applyNumberFormat="1" applyFont="1" applyFill="1" applyBorder="1" applyAlignment="1">
      <alignment horizontal="center" vertical="top" wrapText="1"/>
    </xf>
    <xf numFmtId="4" fontId="12" fillId="0" borderId="7" xfId="0" applyNumberFormat="1" applyFont="1" applyFill="1" applyBorder="1" applyAlignment="1">
      <alignment vertical="center" wrapText="1"/>
    </xf>
    <xf numFmtId="164" fontId="9" fillId="0" borderId="7" xfId="0" quotePrefix="1" applyNumberFormat="1" applyFont="1" applyFill="1" applyBorder="1" applyAlignment="1">
      <alignment horizontal="center" vertical="top" wrapText="1"/>
    </xf>
    <xf numFmtId="4" fontId="9" fillId="0" borderId="7" xfId="0" applyNumberFormat="1" applyFont="1" applyFill="1" applyBorder="1" applyAlignment="1">
      <alignment horizontal="right" vertical="top" wrapText="1"/>
    </xf>
    <xf numFmtId="0" fontId="14" fillId="0" borderId="7" xfId="0" applyFont="1" applyFill="1" applyBorder="1" applyAlignment="1">
      <alignment horizontal="center" vertical="top" wrapText="1"/>
    </xf>
    <xf numFmtId="4" fontId="9" fillId="0" borderId="7" xfId="0" applyNumberFormat="1" applyFont="1" applyFill="1" applyBorder="1" applyAlignment="1">
      <alignment vertical="top" wrapText="1"/>
    </xf>
    <xf numFmtId="37" fontId="9" fillId="3" borderId="7" xfId="5" applyNumberFormat="1" applyFont="1" applyFill="1" applyBorder="1" applyAlignment="1">
      <alignment vertical="center" wrapText="1"/>
    </xf>
    <xf numFmtId="0" fontId="9" fillId="0" borderId="7" xfId="0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horizontal="justify" vertical="top" wrapText="1"/>
    </xf>
    <xf numFmtId="4" fontId="12" fillId="0" borderId="7" xfId="0" applyNumberFormat="1" applyFont="1" applyFill="1" applyBorder="1" applyAlignment="1">
      <alignment horizontal="right" vertical="center" wrapText="1"/>
    </xf>
    <xf numFmtId="4" fontId="12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righ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justify" vertical="center" wrapText="1"/>
    </xf>
    <xf numFmtId="37" fontId="12" fillId="3" borderId="7" xfId="5" quotePrefix="1" applyNumberFormat="1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right" vertical="top" wrapText="1"/>
    </xf>
    <xf numFmtId="0" fontId="12" fillId="0" borderId="7" xfId="5" applyFont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43" fontId="3" fillId="2" borderId="7" xfId="9" applyFont="1" applyFill="1" applyBorder="1" applyAlignment="1">
      <alignment horizontal="center" vertical="top" wrapText="1"/>
    </xf>
    <xf numFmtId="43" fontId="3" fillId="2" borderId="7" xfId="9" applyFont="1" applyFill="1" applyBorder="1" applyAlignment="1">
      <alignment vertical="top" wrapText="1"/>
    </xf>
    <xf numFmtId="43" fontId="3" fillId="0" borderId="7" xfId="9" applyFont="1" applyFill="1" applyBorder="1" applyAlignment="1">
      <alignment vertical="top" wrapText="1"/>
    </xf>
    <xf numFmtId="0" fontId="9" fillId="0" borderId="7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4" fontId="12" fillId="0" borderId="7" xfId="0" applyNumberFormat="1" applyFont="1" applyFill="1" applyBorder="1" applyAlignment="1">
      <alignment horizontal="center" vertical="center" wrapText="1"/>
    </xf>
    <xf numFmtId="4" fontId="2" fillId="0" borderId="7" xfId="5" applyNumberFormat="1" applyFont="1" applyFill="1" applyBorder="1" applyAlignment="1">
      <alignment wrapText="1"/>
    </xf>
    <xf numFmtId="0" fontId="3" fillId="0" borderId="0" xfId="5" applyNumberFormat="1" applyFont="1" applyAlignment="1">
      <alignment horizontal="center"/>
    </xf>
    <xf numFmtId="0" fontId="2" fillId="0" borderId="7" xfId="5" applyNumberFormat="1" applyFont="1" applyFill="1" applyBorder="1" applyAlignment="1">
      <alignment horizontal="center"/>
    </xf>
    <xf numFmtId="0" fontId="2" fillId="0" borderId="7" xfId="5" quotePrefix="1" applyNumberFormat="1" applyFont="1" applyFill="1" applyBorder="1" applyAlignment="1">
      <alignment horizontal="center"/>
    </xf>
    <xf numFmtId="0" fontId="2" fillId="0" borderId="7" xfId="5" applyNumberFormat="1" applyFont="1" applyFill="1" applyBorder="1" applyAlignment="1">
      <alignment horizontal="center" vertical="center"/>
    </xf>
    <xf numFmtId="0" fontId="3" fillId="0" borderId="7" xfId="5" applyNumberFormat="1" applyFont="1" applyFill="1" applyBorder="1" applyAlignment="1">
      <alignment horizontal="center" vertical="center"/>
    </xf>
    <xf numFmtId="0" fontId="3" fillId="0" borderId="7" xfId="5" applyNumberFormat="1" applyFont="1" applyFill="1" applyBorder="1" applyAlignment="1">
      <alignment horizontal="center"/>
    </xf>
    <xf numFmtId="0" fontId="2" fillId="0" borderId="7" xfId="5" quotePrefix="1" applyNumberFormat="1" applyFont="1" applyFill="1" applyBorder="1" applyAlignment="1">
      <alignment horizontal="center" vertical="center"/>
    </xf>
    <xf numFmtId="0" fontId="2" fillId="0" borderId="7" xfId="0" quotePrefix="1" applyNumberFormat="1" applyFont="1" applyBorder="1" applyAlignment="1">
      <alignment horizontal="center" vertical="center"/>
    </xf>
    <xf numFmtId="0" fontId="9" fillId="0" borderId="7" xfId="0" applyNumberFormat="1" applyFont="1" applyFill="1" applyBorder="1" applyAlignment="1">
      <alignment horizontal="center" vertical="center" wrapText="1"/>
    </xf>
    <xf numFmtId="0" fontId="9" fillId="0" borderId="7" xfId="0" quotePrefix="1" applyNumberFormat="1" applyFont="1" applyFill="1" applyBorder="1" applyAlignment="1">
      <alignment horizontal="center" vertical="center" wrapText="1"/>
    </xf>
    <xf numFmtId="0" fontId="9" fillId="0" borderId="7" xfId="0" quotePrefix="1" applyNumberFormat="1" applyFont="1" applyFill="1" applyBorder="1" applyAlignment="1">
      <alignment horizontal="center" vertical="top" wrapText="1"/>
    </xf>
    <xf numFmtId="0" fontId="9" fillId="0" borderId="7" xfId="0" applyNumberFormat="1" applyFont="1" applyFill="1" applyBorder="1" applyAlignment="1">
      <alignment horizontal="center" vertical="top" wrapText="1"/>
    </xf>
    <xf numFmtId="0" fontId="9" fillId="4" borderId="7" xfId="0" applyFont="1" applyFill="1" applyBorder="1" applyAlignment="1">
      <alignment horizontal="left" vertical="top" wrapText="1"/>
    </xf>
    <xf numFmtId="0" fontId="12" fillId="4" borderId="7" xfId="0" applyFont="1" applyFill="1" applyBorder="1" applyAlignment="1">
      <alignment vertical="top" wrapText="1"/>
    </xf>
    <xf numFmtId="4" fontId="12" fillId="4" borderId="7" xfId="0" applyNumberFormat="1" applyFont="1" applyFill="1" applyBorder="1" applyAlignment="1">
      <alignment horizontal="center" vertical="center" wrapText="1"/>
    </xf>
    <xf numFmtId="4" fontId="9" fillId="4" borderId="7" xfId="0" applyNumberFormat="1" applyFont="1" applyFill="1" applyBorder="1" applyAlignment="1">
      <alignment vertical="top" wrapText="1"/>
    </xf>
    <xf numFmtId="0" fontId="9" fillId="4" borderId="7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4" fontId="9" fillId="4" borderId="7" xfId="0" applyNumberFormat="1" applyFont="1" applyFill="1" applyBorder="1" applyAlignment="1">
      <alignment horizontal="right" vertical="center" wrapText="1"/>
    </xf>
    <xf numFmtId="0" fontId="12" fillId="0" borderId="7" xfId="0" applyFont="1" applyFill="1" applyBorder="1" applyAlignment="1">
      <alignment horizontal="left" vertical="top" wrapText="1"/>
    </xf>
    <xf numFmtId="0" fontId="9" fillId="0" borderId="7" xfId="0" quotePrefix="1" applyNumberFormat="1" applyFont="1" applyFill="1" applyBorder="1" applyAlignment="1">
      <alignment horizontal="center" wrapText="1"/>
    </xf>
    <xf numFmtId="0" fontId="9" fillId="0" borderId="7" xfId="0" applyNumberFormat="1" applyFont="1" applyFill="1" applyBorder="1" applyAlignment="1">
      <alignment horizontal="center" wrapText="1"/>
    </xf>
    <xf numFmtId="0" fontId="9" fillId="0" borderId="7" xfId="0" applyNumberFormat="1" applyFont="1" applyBorder="1" applyAlignment="1">
      <alignment horizontal="center" vertical="top" wrapText="1"/>
    </xf>
    <xf numFmtId="0" fontId="2" fillId="0" borderId="7" xfId="0" applyNumberFormat="1" applyFont="1" applyFill="1" applyBorder="1" applyAlignment="1">
      <alignment horizontal="center" vertical="top" wrapText="1"/>
    </xf>
    <xf numFmtId="0" fontId="9" fillId="0" borderId="0" xfId="0" applyNumberFormat="1" applyFont="1" applyFill="1" applyAlignment="1">
      <alignment horizontal="center" vertical="top" wrapText="1"/>
    </xf>
    <xf numFmtId="0" fontId="12" fillId="5" borderId="7" xfId="0" applyFont="1" applyFill="1" applyBorder="1" applyAlignment="1">
      <alignment horizontal="center" vertical="top" wrapText="1"/>
    </xf>
    <xf numFmtId="0" fontId="12" fillId="4" borderId="7" xfId="0" applyFont="1" applyFill="1" applyBorder="1" applyAlignment="1">
      <alignment horizontal="center" vertical="top" wrapText="1"/>
    </xf>
    <xf numFmtId="0" fontId="15" fillId="0" borderId="7" xfId="0" applyFont="1" applyFill="1" applyBorder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3" fillId="4" borderId="7" xfId="5" applyFont="1" applyFill="1" applyBorder="1"/>
    <xf numFmtId="1" fontId="2" fillId="4" borderId="7" xfId="5" applyNumberFormat="1" applyFont="1" applyFill="1" applyBorder="1"/>
    <xf numFmtId="0" fontId="3" fillId="0" borderId="0" xfId="5" applyFont="1" applyFill="1" applyAlignment="1">
      <alignment horizontal="center"/>
    </xf>
    <xf numFmtId="0" fontId="2" fillId="0" borderId="7" xfId="5" applyFont="1" applyFill="1" applyBorder="1" applyAlignment="1">
      <alignment horizontal="left"/>
    </xf>
    <xf numFmtId="0" fontId="3" fillId="0" borderId="7" xfId="5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wrapText="1"/>
    </xf>
    <xf numFmtId="0" fontId="3" fillId="0" borderId="7" xfId="5" applyFont="1" applyFill="1" applyBorder="1" applyAlignment="1">
      <alignment horizontal="left" wrapText="1"/>
    </xf>
    <xf numFmtId="0" fontId="3" fillId="0" borderId="7" xfId="0" applyFont="1" applyBorder="1" applyAlignment="1">
      <alignment horizontal="left"/>
    </xf>
    <xf numFmtId="0" fontId="3" fillId="0" borderId="7" xfId="5" applyFont="1" applyFill="1" applyBorder="1" applyAlignment="1">
      <alignment horizontal="left"/>
    </xf>
    <xf numFmtId="0" fontId="3" fillId="0" borderId="7" xfId="5" applyFont="1" applyFill="1" applyBorder="1" applyAlignment="1">
      <alignment horizontal="left" vertical="top" wrapText="1"/>
    </xf>
    <xf numFmtId="0" fontId="2" fillId="0" borderId="7" xfId="5" applyFont="1" applyFill="1" applyBorder="1" applyAlignment="1">
      <alignment horizontal="left" vertical="top" wrapText="1"/>
    </xf>
    <xf numFmtId="0" fontId="2" fillId="0" borderId="7" xfId="0" applyFont="1" applyBorder="1" applyAlignment="1">
      <alignment horizontal="left" wrapText="1"/>
    </xf>
    <xf numFmtId="0" fontId="2" fillId="4" borderId="7" xfId="5" applyFont="1" applyFill="1" applyBorder="1" applyAlignment="1">
      <alignment horizontal="left"/>
    </xf>
    <xf numFmtId="0" fontId="3" fillId="0" borderId="0" xfId="5" applyFont="1" applyAlignment="1">
      <alignment horizontal="left"/>
    </xf>
    <xf numFmtId="1" fontId="3" fillId="0" borderId="7" xfId="5" applyNumberFormat="1" applyFont="1" applyFill="1" applyBorder="1" applyAlignment="1">
      <alignment horizontal="center" vertical="center"/>
    </xf>
    <xf numFmtId="0" fontId="3" fillId="4" borderId="7" xfId="5" applyFont="1" applyFill="1" applyBorder="1" applyAlignment="1">
      <alignment horizontal="center"/>
    </xf>
    <xf numFmtId="0" fontId="2" fillId="0" borderId="13" xfId="5" applyFont="1" applyFill="1" applyBorder="1" applyAlignment="1">
      <alignment horizontal="center"/>
    </xf>
    <xf numFmtId="164" fontId="2" fillId="0" borderId="13" xfId="5" quotePrefix="1" applyNumberFormat="1" applyFont="1" applyFill="1" applyBorder="1" applyAlignment="1">
      <alignment horizontal="center"/>
    </xf>
    <xf numFmtId="164" fontId="2" fillId="0" borderId="13" xfId="5" applyNumberFormat="1" applyFont="1" applyFill="1" applyBorder="1" applyAlignment="1">
      <alignment horizontal="center"/>
    </xf>
    <xf numFmtId="164" fontId="2" fillId="0" borderId="13" xfId="5" applyNumberFormat="1" applyFont="1" applyFill="1" applyBorder="1" applyAlignment="1">
      <alignment horizontal="center" vertical="center"/>
    </xf>
    <xf numFmtId="0" fontId="3" fillId="0" borderId="13" xfId="5" applyFont="1" applyFill="1" applyBorder="1" applyAlignment="1">
      <alignment horizontal="center" vertical="center"/>
    </xf>
    <xf numFmtId="0" fontId="3" fillId="0" borderId="13" xfId="5" applyFont="1" applyFill="1" applyBorder="1" applyAlignment="1">
      <alignment horizontal="center"/>
    </xf>
    <xf numFmtId="164" fontId="2" fillId="0" borderId="13" xfId="5" quotePrefix="1" applyNumberFormat="1" applyFont="1" applyFill="1" applyBorder="1" applyAlignment="1">
      <alignment horizontal="center" vertical="center"/>
    </xf>
    <xf numFmtId="0" fontId="2" fillId="0" borderId="13" xfId="5" applyFont="1" applyFill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1" fontId="3" fillId="0" borderId="7" xfId="0" applyNumberFormat="1" applyFont="1" applyFill="1" applyBorder="1" applyAlignment="1">
      <alignment vertical="center"/>
    </xf>
    <xf numFmtId="1" fontId="2" fillId="0" borderId="7" xfId="0" applyNumberFormat="1" applyFont="1" applyBorder="1" applyAlignment="1">
      <alignment vertical="center"/>
    </xf>
    <xf numFmtId="2" fontId="2" fillId="0" borderId="7" xfId="0" applyNumberFormat="1" applyFont="1" applyBorder="1" applyAlignment="1">
      <alignment horizontal="right" vertical="center"/>
    </xf>
    <xf numFmtId="0" fontId="13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5" fillId="0" borderId="13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2" fillId="5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8" fillId="0" borderId="7" xfId="0" applyFont="1" applyBorder="1" applyAlignment="1">
      <alignment vertical="center" wrapText="1"/>
    </xf>
    <xf numFmtId="0" fontId="8" fillId="0" borderId="7" xfId="0" applyFont="1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5" borderId="7" xfId="5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left" vertical="top" wrapText="1"/>
    </xf>
    <xf numFmtId="0" fontId="12" fillId="0" borderId="7" xfId="0" applyFont="1" applyFill="1" applyBorder="1" applyAlignment="1">
      <alignment horizontal="center" vertical="center" wrapText="1"/>
    </xf>
    <xf numFmtId="4" fontId="12" fillId="0" borderId="7" xfId="5" applyNumberFormat="1" applyFont="1" applyBorder="1" applyAlignment="1">
      <alignment horizontal="center" vertical="center" wrapText="1"/>
    </xf>
    <xf numFmtId="4" fontId="12" fillId="0" borderId="7" xfId="0" applyNumberFormat="1" applyFont="1" applyFill="1" applyBorder="1" applyAlignment="1">
      <alignment horizontal="center" vertical="center" wrapText="1"/>
    </xf>
    <xf numFmtId="4" fontId="12" fillId="0" borderId="7" xfId="5" applyNumberFormat="1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</cellXfs>
  <cellStyles count="10">
    <cellStyle name="Comma" xfId="9" builtinId="3"/>
    <cellStyle name="Comma 2" xfId="7" xr:uid="{E72BBAD4-130B-4554-8FA4-0D0BCEEDDFA2}"/>
    <cellStyle name="Comma 3" xfId="6" xr:uid="{976B247F-1519-4DA5-A278-E7A1C8B8F33F}"/>
    <cellStyle name="Comma 4" xfId="8" xr:uid="{A41BD1BB-EE53-434E-925B-7F56C9D359F6}"/>
    <cellStyle name="Normal" xfId="0" builtinId="0"/>
    <cellStyle name="Normal 2" xfId="1" xr:uid="{00000000-0005-0000-0000-000001000000}"/>
    <cellStyle name="Normal 2 2" xfId="5" xr:uid="{5765ED00-6411-4C27-B47F-A657303775BF}"/>
    <cellStyle name="Normal 4" xfId="2" xr:uid="{8238B907-915C-4228-9F1D-F58BC5E74441}"/>
    <cellStyle name="Normal 8" xfId="3" xr:uid="{A8A24C4C-765D-4E1B-A6A5-BD29BC9B852B}"/>
    <cellStyle name="Normal 8 2 10" xfId="4" xr:uid="{9855471C-1793-4D0E-BBFC-CB8EC243926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MC\VOL3\COST\JAYANT\NEWPRICE\FLANGE\FORGE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yant\Estimation\DAIRY\Meg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m_vikas\d\COST\JAYANT\NEWPRICE\FLANGE\FORGE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m_vikas\d\Jayant\Estimation\DAIRY\Meg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yant\Estimation\DAIRY\DUMPTANK\1000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ST\JAYANT\NEWPRICE\FLANGE\FORGE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yant\Estimation\DAIRY\Misc%20Project\Meg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ST\JAYANT\NEWPRICE\FLANGE\FORG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price sch agreed"/>
      <sheetName val="Panelcost"/>
      <sheetName val="Flow Plate"/>
      <sheetName val="tools &amp; consumabales"/>
      <sheetName val="SS BOM costing1"/>
      <sheetName val="PRICE VS COST"/>
      <sheetName val="Utilities costing"/>
      <sheetName val="LEAKY P DUMP"/>
      <sheetName val="PHE_LOGIC"/>
    </sheetNames>
    <sheetDataSet>
      <sheetData sheetId="0" refreshError="1">
        <row r="27">
          <cell r="C27">
            <v>225</v>
          </cell>
        </row>
        <row r="28">
          <cell r="C28">
            <v>315</v>
          </cell>
        </row>
        <row r="29">
          <cell r="C29">
            <v>405</v>
          </cell>
        </row>
        <row r="30">
          <cell r="C30">
            <v>630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KL ACID&amp;LYE TEMP"/>
      <sheetName val="500LTR"/>
      <sheetName val="Cr balance"/>
      <sheetName val="LEAKY P DUMP"/>
      <sheetName val="2KL RINSE"/>
      <sheetName val="3KL FLUSH WATER"/>
      <sheetName val="UVMST WITHOUT AGI"/>
      <sheetName val="CURD VAT-5KL"/>
      <sheetName val="5KL HOT WATER"/>
      <sheetName val="Recup-8kl"/>
      <sheetName val="8KL CIP DETER"/>
      <sheetName val="15KL ACID&amp;LYE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EAKY P DUMP"/>
    </sheetNames>
    <sheetDataSet>
      <sheetData sheetId="0" refreshError="1">
        <row r="27">
          <cell r="C27">
            <v>225</v>
          </cell>
        </row>
        <row r="29">
          <cell r="C29">
            <v>405</v>
          </cell>
        </row>
        <row r="30">
          <cell r="C30">
            <v>630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KL ACID&amp;LYE TEMP"/>
      <sheetName val="500LTR"/>
      <sheetName val="Cr balance"/>
      <sheetName val="LEAKY P DUMP"/>
      <sheetName val="2KL RINSE"/>
      <sheetName val="3KL FLUSH WATER"/>
      <sheetName val="UVMST WITHOUT AGI"/>
      <sheetName val="CURD VAT-5KL"/>
      <sheetName val="5KL HOT WATER"/>
      <sheetName val="Recup-8kl"/>
      <sheetName val="8KL CIP DETER"/>
      <sheetName val="15KL ACID&amp;LYE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0 LTR"/>
      <sheetName val="Sheet1"/>
      <sheetName val="LEAKY P DUMP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000 LTR"/>
      <sheetName val="LEAKY P DUMP"/>
    </sheetNames>
    <sheetDataSet>
      <sheetData sheetId="0" refreshError="1">
        <row r="27">
          <cell r="C27">
            <v>225</v>
          </cell>
        </row>
        <row r="28">
          <cell r="C28">
            <v>315</v>
          </cell>
        </row>
        <row r="29">
          <cell r="C29">
            <v>405</v>
          </cell>
        </row>
        <row r="30">
          <cell r="C30">
            <v>630</v>
          </cell>
        </row>
      </sheetData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KL ACID&amp;LYE TEMP"/>
      <sheetName val="500LTR"/>
      <sheetName val="Cr balance"/>
      <sheetName val="LEAKY P DUMP"/>
      <sheetName val="2KL RINSE"/>
      <sheetName val="3KL FLUSH WATER"/>
      <sheetName val="UVMST WITHOUT AGI"/>
      <sheetName val="CURD VAT-5KL"/>
      <sheetName val="5KL HOT WATER"/>
      <sheetName val="Recup-8kl"/>
      <sheetName val="8KL CIP DETER"/>
      <sheetName val="15KL ACID&amp;LYE"/>
      <sheetName val="1000 LTR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000 LTR"/>
      <sheetName val="LEAKY P DUMP"/>
    </sheetNames>
    <sheetDataSet>
      <sheetData sheetId="0" refreshError="1">
        <row r="27">
          <cell r="C27">
            <v>225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view="pageBreakPreview" topLeftCell="A13" zoomScale="98" zoomScaleNormal="100" zoomScaleSheetLayoutView="98" workbookViewId="0">
      <selection activeCell="F26" sqref="F26"/>
    </sheetView>
  </sheetViews>
  <sheetFormatPr defaultRowHeight="12.75" x14ac:dyDescent="0.2"/>
  <cols>
    <col min="1" max="1" width="6.5703125" customWidth="1"/>
    <col min="2" max="2" width="52.85546875" customWidth="1"/>
    <col min="3" max="3" width="11" customWidth="1"/>
  </cols>
  <sheetData>
    <row r="1" spans="1:6" ht="13.5" x14ac:dyDescent="0.2">
      <c r="A1" s="254" t="s">
        <v>295</v>
      </c>
      <c r="B1" s="254"/>
      <c r="C1" s="254"/>
    </row>
    <row r="3" spans="1:6" ht="15.75" x14ac:dyDescent="0.25">
      <c r="B3" s="45" t="s">
        <v>234</v>
      </c>
    </row>
    <row r="5" spans="1:6" ht="25.5" x14ac:dyDescent="0.2">
      <c r="A5" s="53" t="s">
        <v>224</v>
      </c>
      <c r="B5" s="54" t="s">
        <v>235</v>
      </c>
      <c r="C5" s="53" t="s">
        <v>225</v>
      </c>
      <c r="D5" s="55"/>
      <c r="E5" s="55"/>
      <c r="F5" s="55"/>
    </row>
    <row r="6" spans="1:6" x14ac:dyDescent="0.2">
      <c r="A6" s="56"/>
      <c r="B6" s="55"/>
      <c r="C6" s="55"/>
      <c r="D6" s="55"/>
      <c r="E6" s="55"/>
      <c r="F6" s="55"/>
    </row>
    <row r="7" spans="1:6" x14ac:dyDescent="0.2">
      <c r="A7" s="56">
        <v>1</v>
      </c>
      <c r="B7" s="56" t="s">
        <v>226</v>
      </c>
      <c r="C7" s="57" t="s">
        <v>271</v>
      </c>
      <c r="D7" s="55"/>
      <c r="E7" s="55"/>
      <c r="F7" s="55"/>
    </row>
    <row r="8" spans="1:6" ht="18.75" customHeight="1" x14ac:dyDescent="0.2">
      <c r="A8" s="56"/>
      <c r="B8" s="61" t="s">
        <v>270</v>
      </c>
      <c r="C8" s="57"/>
      <c r="D8" s="57" t="s">
        <v>253</v>
      </c>
      <c r="E8" s="55"/>
      <c r="F8" s="55"/>
    </row>
    <row r="9" spans="1:6" ht="17.25" customHeight="1" x14ac:dyDescent="0.2">
      <c r="A9" s="56"/>
      <c r="B9" s="61" t="s">
        <v>272</v>
      </c>
      <c r="C9" s="57"/>
      <c r="D9" s="55"/>
      <c r="E9" s="55"/>
      <c r="F9" s="55"/>
    </row>
    <row r="10" spans="1:6" ht="19.5" customHeight="1" x14ac:dyDescent="0.2">
      <c r="A10" s="56"/>
      <c r="B10" s="61" t="s">
        <v>273</v>
      </c>
      <c r="C10" s="57"/>
      <c r="D10" s="65"/>
      <c r="E10" s="65"/>
      <c r="F10" s="55"/>
    </row>
    <row r="11" spans="1:6" s="15" customFormat="1" ht="30.75" customHeight="1" x14ac:dyDescent="0.2">
      <c r="A11" s="57"/>
      <c r="B11" s="62" t="s">
        <v>274</v>
      </c>
      <c r="C11" s="57"/>
      <c r="D11" s="57"/>
      <c r="E11" s="57"/>
      <c r="F11" s="57"/>
    </row>
    <row r="12" spans="1:6" x14ac:dyDescent="0.2">
      <c r="A12" s="56"/>
      <c r="B12" s="56"/>
      <c r="C12" s="57"/>
      <c r="D12" s="55"/>
      <c r="E12" s="55"/>
      <c r="F12" s="55"/>
    </row>
    <row r="13" spans="1:6" x14ac:dyDescent="0.2">
      <c r="A13" s="56">
        <v>2</v>
      </c>
      <c r="B13" s="56" t="s">
        <v>239</v>
      </c>
      <c r="C13" s="57"/>
      <c r="D13" s="57" t="s">
        <v>293</v>
      </c>
      <c r="E13" s="55"/>
      <c r="F13" s="55"/>
    </row>
    <row r="14" spans="1:6" x14ac:dyDescent="0.2">
      <c r="A14" s="56"/>
      <c r="B14" s="56"/>
      <c r="C14" s="57"/>
      <c r="D14" s="55"/>
      <c r="E14" s="55"/>
      <c r="F14" s="55"/>
    </row>
    <row r="15" spans="1:6" x14ac:dyDescent="0.2">
      <c r="A15" s="56">
        <v>3</v>
      </c>
      <c r="B15" s="56" t="s">
        <v>233</v>
      </c>
      <c r="C15" s="57" t="s">
        <v>296</v>
      </c>
      <c r="D15" s="57" t="s">
        <v>243</v>
      </c>
      <c r="E15" s="55"/>
      <c r="F15" s="55"/>
    </row>
    <row r="16" spans="1:6" ht="55.5" customHeight="1" x14ac:dyDescent="0.2">
      <c r="A16" s="56"/>
      <c r="B16" s="62" t="s">
        <v>275</v>
      </c>
      <c r="C16" s="57"/>
      <c r="D16" s="255" t="s">
        <v>276</v>
      </c>
      <c r="E16" s="255"/>
      <c r="F16" s="55"/>
    </row>
    <row r="17" spans="1:6" x14ac:dyDescent="0.2">
      <c r="A17" s="56"/>
      <c r="B17" s="56"/>
      <c r="C17" s="57"/>
      <c r="D17" s="55"/>
      <c r="E17" s="55"/>
      <c r="F17" s="55"/>
    </row>
    <row r="18" spans="1:6" x14ac:dyDescent="0.2">
      <c r="A18" s="56">
        <v>4</v>
      </c>
      <c r="B18" s="56" t="s">
        <v>231</v>
      </c>
      <c r="C18" s="55"/>
      <c r="D18" s="55"/>
      <c r="E18" s="55"/>
      <c r="F18" s="55"/>
    </row>
    <row r="19" spans="1:6" x14ac:dyDescent="0.2">
      <c r="A19" s="56"/>
      <c r="B19" s="58" t="s">
        <v>232</v>
      </c>
      <c r="C19" s="58"/>
      <c r="D19" s="55"/>
      <c r="E19" s="55"/>
      <c r="F19" s="55"/>
    </row>
    <row r="20" spans="1:6" ht="25.5" x14ac:dyDescent="0.2">
      <c r="A20" s="56"/>
      <c r="B20" s="59" t="s">
        <v>297</v>
      </c>
      <c r="C20" s="58" t="s">
        <v>296</v>
      </c>
      <c r="D20" s="55"/>
      <c r="E20" s="55"/>
      <c r="F20" s="55"/>
    </row>
    <row r="21" spans="1:6" s="49" customFormat="1" ht="27.75" customHeight="1" x14ac:dyDescent="0.2">
      <c r="A21" s="69">
        <v>5</v>
      </c>
      <c r="B21" s="69" t="s">
        <v>277</v>
      </c>
      <c r="C21" s="61" t="s">
        <v>305</v>
      </c>
      <c r="D21" s="259" t="s">
        <v>306</v>
      </c>
      <c r="E21" s="260"/>
      <c r="F21" s="261"/>
    </row>
    <row r="22" spans="1:6" x14ac:dyDescent="0.2">
      <c r="A22" s="56"/>
      <c r="B22" s="55"/>
      <c r="C22" s="55"/>
      <c r="D22" s="55"/>
      <c r="E22" s="55"/>
      <c r="F22" s="55"/>
    </row>
    <row r="23" spans="1:6" x14ac:dyDescent="0.2">
      <c r="A23" s="56"/>
      <c r="B23" s="57" t="s">
        <v>290</v>
      </c>
      <c r="C23" s="57" t="s">
        <v>303</v>
      </c>
      <c r="D23" s="256" t="s">
        <v>304</v>
      </c>
      <c r="E23" s="257"/>
      <c r="F23" s="258"/>
    </row>
    <row r="24" spans="1:6" x14ac:dyDescent="0.2">
      <c r="A24" s="56"/>
      <c r="B24" s="57"/>
      <c r="C24" s="57"/>
      <c r="D24" s="55"/>
      <c r="E24" s="55"/>
      <c r="F24" s="55"/>
    </row>
    <row r="25" spans="1:6" x14ac:dyDescent="0.2">
      <c r="A25" s="56">
        <v>8</v>
      </c>
      <c r="B25" s="56" t="s">
        <v>227</v>
      </c>
      <c r="C25" s="68"/>
      <c r="D25" s="68"/>
      <c r="E25" s="68"/>
      <c r="F25" s="68"/>
    </row>
    <row r="26" spans="1:6" ht="25.5" customHeight="1" x14ac:dyDescent="0.2">
      <c r="A26" s="56"/>
      <c r="B26" s="59" t="s">
        <v>298</v>
      </c>
      <c r="C26" s="60" t="s">
        <v>299</v>
      </c>
      <c r="D26" s="255"/>
      <c r="E26" s="255"/>
      <c r="F26" s="55"/>
    </row>
    <row r="27" spans="1:6" x14ac:dyDescent="0.2">
      <c r="A27" s="56"/>
      <c r="B27" s="57" t="s">
        <v>300</v>
      </c>
      <c r="C27" s="57" t="s">
        <v>240</v>
      </c>
      <c r="D27" s="55"/>
      <c r="E27" s="55"/>
      <c r="F27" s="55"/>
    </row>
    <row r="28" spans="1:6" x14ac:dyDescent="0.2">
      <c r="A28" s="56">
        <v>10</v>
      </c>
      <c r="B28" s="56" t="s">
        <v>228</v>
      </c>
      <c r="C28" s="57" t="s">
        <v>301</v>
      </c>
      <c r="D28" s="57" t="s">
        <v>291</v>
      </c>
      <c r="E28" s="55"/>
      <c r="F28" s="55"/>
    </row>
    <row r="29" spans="1:6" x14ac:dyDescent="0.2">
      <c r="A29" s="56"/>
      <c r="B29" s="57" t="s">
        <v>302</v>
      </c>
      <c r="C29" s="57"/>
      <c r="D29" s="55"/>
      <c r="E29" s="55"/>
      <c r="F29" s="55"/>
    </row>
    <row r="30" spans="1:6" x14ac:dyDescent="0.2">
      <c r="A30" s="56"/>
      <c r="B30" s="55"/>
      <c r="C30" s="55"/>
      <c r="D30" s="55"/>
      <c r="E30" s="55"/>
      <c r="F30" s="55"/>
    </row>
    <row r="31" spans="1:6" x14ac:dyDescent="0.2">
      <c r="A31" s="56">
        <v>11</v>
      </c>
      <c r="B31" s="56" t="s">
        <v>229</v>
      </c>
      <c r="C31" s="55"/>
      <c r="D31" s="55"/>
      <c r="E31" s="55"/>
      <c r="F31" s="55"/>
    </row>
    <row r="32" spans="1:6" x14ac:dyDescent="0.2">
      <c r="A32" s="56"/>
      <c r="B32" s="57" t="s">
        <v>242</v>
      </c>
      <c r="C32" s="57" t="s">
        <v>240</v>
      </c>
      <c r="D32" s="55"/>
      <c r="E32" s="55"/>
      <c r="F32" s="55"/>
    </row>
    <row r="33" spans="1:6" x14ac:dyDescent="0.2">
      <c r="A33" s="56"/>
      <c r="B33" s="57" t="s">
        <v>292</v>
      </c>
      <c r="C33" s="57" t="s">
        <v>241</v>
      </c>
      <c r="D33" s="55"/>
      <c r="E33" s="55"/>
      <c r="F33" s="55"/>
    </row>
    <row r="34" spans="1:6" x14ac:dyDescent="0.2">
      <c r="A34" s="55"/>
      <c r="B34" s="55" t="s">
        <v>294</v>
      </c>
      <c r="C34" s="55"/>
      <c r="D34" s="55"/>
      <c r="E34" s="55"/>
      <c r="F34" s="55"/>
    </row>
    <row r="35" spans="1:6" x14ac:dyDescent="0.2">
      <c r="A35" s="56">
        <v>12</v>
      </c>
      <c r="B35" s="56" t="s">
        <v>280</v>
      </c>
      <c r="C35" s="57" t="s">
        <v>281</v>
      </c>
      <c r="D35" s="55"/>
      <c r="E35" s="55"/>
      <c r="F35" s="55"/>
    </row>
    <row r="36" spans="1:6" x14ac:dyDescent="0.2">
      <c r="A36" s="55"/>
      <c r="B36" s="57" t="s">
        <v>284</v>
      </c>
      <c r="C36" s="55"/>
      <c r="D36" s="55"/>
      <c r="E36" s="55"/>
      <c r="F36" s="55"/>
    </row>
    <row r="37" spans="1:6" x14ac:dyDescent="0.2">
      <c r="A37" s="55"/>
      <c r="B37" s="55"/>
      <c r="C37" s="55"/>
      <c r="D37" s="55"/>
      <c r="E37" s="55"/>
      <c r="F37" s="55"/>
    </row>
  </sheetData>
  <mergeCells count="5">
    <mergeCell ref="A1:C1"/>
    <mergeCell ref="D16:E16"/>
    <mergeCell ref="D26:E26"/>
    <mergeCell ref="D23:F23"/>
    <mergeCell ref="D21:F21"/>
  </mergeCells>
  <pageMargins left="0.7" right="0.7" top="0.75" bottom="0.75" header="0.3" footer="0.3"/>
  <pageSetup paperSize="9" scale="91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60"/>
  <sheetViews>
    <sheetView topLeftCell="A25" workbookViewId="0">
      <selection activeCell="B1" sqref="B1"/>
    </sheetView>
  </sheetViews>
  <sheetFormatPr defaultRowHeight="12.75" x14ac:dyDescent="0.2"/>
  <cols>
    <col min="1" max="1" width="20.42578125" customWidth="1"/>
    <col min="2" max="2" width="31.140625" style="15" customWidth="1"/>
    <col min="3" max="3" width="12.28515625" style="16" customWidth="1"/>
    <col min="4" max="4" width="9.85546875" style="16" customWidth="1"/>
  </cols>
  <sheetData>
    <row r="2" spans="1:4" x14ac:dyDescent="0.2">
      <c r="B2" s="17" t="s">
        <v>81</v>
      </c>
    </row>
    <row r="3" spans="1:4" x14ac:dyDescent="0.2">
      <c r="C3" s="16" t="s">
        <v>82</v>
      </c>
      <c r="D3" s="16" t="s">
        <v>82</v>
      </c>
    </row>
    <row r="4" spans="1:4" x14ac:dyDescent="0.2">
      <c r="A4" t="s">
        <v>83</v>
      </c>
      <c r="B4" t="s">
        <v>84</v>
      </c>
      <c r="C4" s="18">
        <f>21*10.5</f>
        <v>220.5</v>
      </c>
      <c r="D4" s="16">
        <f>SUM(C4:C8)</f>
        <v>465.5</v>
      </c>
    </row>
    <row r="5" spans="1:4" x14ac:dyDescent="0.2">
      <c r="B5" t="s">
        <v>85</v>
      </c>
      <c r="C5" s="18">
        <f>7*3.5</f>
        <v>24.5</v>
      </c>
    </row>
    <row r="6" spans="1:4" x14ac:dyDescent="0.2">
      <c r="B6" t="s">
        <v>86</v>
      </c>
      <c r="C6" s="18">
        <f>7*7</f>
        <v>49</v>
      </c>
    </row>
    <row r="7" spans="1:4" x14ac:dyDescent="0.2">
      <c r="B7" t="s">
        <v>87</v>
      </c>
      <c r="C7" s="18">
        <f>7*3.5</f>
        <v>24.5</v>
      </c>
    </row>
    <row r="8" spans="1:4" x14ac:dyDescent="0.2">
      <c r="B8" t="s">
        <v>88</v>
      </c>
      <c r="C8" s="18">
        <f>3.5*42</f>
        <v>147</v>
      </c>
    </row>
    <row r="10" spans="1:4" x14ac:dyDescent="0.2">
      <c r="A10" t="s">
        <v>89</v>
      </c>
      <c r="B10" t="s">
        <v>90</v>
      </c>
      <c r="C10" s="18">
        <f>10.5*7</f>
        <v>73.5</v>
      </c>
      <c r="D10" s="16">
        <f>SUM(C10:C11)</f>
        <v>98</v>
      </c>
    </row>
    <row r="11" spans="1:4" x14ac:dyDescent="0.2">
      <c r="B11" s="15" t="s">
        <v>91</v>
      </c>
      <c r="C11" s="16">
        <f>3.5*7</f>
        <v>24.5</v>
      </c>
    </row>
    <row r="13" spans="1:4" x14ac:dyDescent="0.2">
      <c r="A13" t="s">
        <v>92</v>
      </c>
      <c r="B13" t="s">
        <v>93</v>
      </c>
      <c r="C13" s="18">
        <f>21*14</f>
        <v>294</v>
      </c>
      <c r="D13" s="16">
        <f>SUM(C13:C14)</f>
        <v>294</v>
      </c>
    </row>
    <row r="14" spans="1:4" x14ac:dyDescent="0.2">
      <c r="B14"/>
      <c r="C14" s="18"/>
    </row>
    <row r="16" spans="1:4" x14ac:dyDescent="0.2">
      <c r="A16" t="s">
        <v>94</v>
      </c>
      <c r="B16" t="s">
        <v>95</v>
      </c>
      <c r="C16" s="18">
        <f>7*7</f>
        <v>49</v>
      </c>
      <c r="D16" s="16">
        <f>SUM(C16:C23)</f>
        <v>441</v>
      </c>
    </row>
    <row r="17" spans="1:4" x14ac:dyDescent="0.2">
      <c r="B17" t="s">
        <v>96</v>
      </c>
      <c r="C17" s="18">
        <f>14*7</f>
        <v>98</v>
      </c>
    </row>
    <row r="18" spans="1:4" x14ac:dyDescent="0.2">
      <c r="B18" t="s">
        <v>97</v>
      </c>
      <c r="C18" s="18">
        <f t="shared" ref="C18:C23" si="0">7*7</f>
        <v>49</v>
      </c>
    </row>
    <row r="19" spans="1:4" x14ac:dyDescent="0.2">
      <c r="B19" t="s">
        <v>98</v>
      </c>
      <c r="C19" s="18">
        <f t="shared" si="0"/>
        <v>49</v>
      </c>
    </row>
    <row r="20" spans="1:4" x14ac:dyDescent="0.2">
      <c r="B20" t="s">
        <v>99</v>
      </c>
      <c r="C20" s="18">
        <f t="shared" si="0"/>
        <v>49</v>
      </c>
    </row>
    <row r="21" spans="1:4" x14ac:dyDescent="0.2">
      <c r="B21" t="s">
        <v>100</v>
      </c>
      <c r="C21" s="18">
        <f t="shared" si="0"/>
        <v>49</v>
      </c>
    </row>
    <row r="22" spans="1:4" x14ac:dyDescent="0.2">
      <c r="B22" t="s">
        <v>101</v>
      </c>
      <c r="C22" s="18">
        <f t="shared" si="0"/>
        <v>49</v>
      </c>
    </row>
    <row r="23" spans="1:4" x14ac:dyDescent="0.2">
      <c r="B23" t="s">
        <v>102</v>
      </c>
      <c r="C23" s="18">
        <f t="shared" si="0"/>
        <v>49</v>
      </c>
    </row>
    <row r="24" spans="1:4" x14ac:dyDescent="0.2">
      <c r="B24"/>
      <c r="C24" s="18"/>
    </row>
    <row r="26" spans="1:4" x14ac:dyDescent="0.2">
      <c r="A26" t="s">
        <v>103</v>
      </c>
      <c r="B26" t="s">
        <v>104</v>
      </c>
      <c r="C26" s="18">
        <f>14*14</f>
        <v>196</v>
      </c>
      <c r="D26" s="16">
        <f>SUM(C26:C35)</f>
        <v>906.5</v>
      </c>
    </row>
    <row r="27" spans="1:4" x14ac:dyDescent="0.2">
      <c r="B27" t="s">
        <v>105</v>
      </c>
      <c r="C27" s="18">
        <f>14*10.5</f>
        <v>147</v>
      </c>
    </row>
    <row r="28" spans="1:4" x14ac:dyDescent="0.2">
      <c r="B28" t="s">
        <v>106</v>
      </c>
      <c r="C28" s="18">
        <f>21*10.5</f>
        <v>220.5</v>
      </c>
    </row>
    <row r="29" spans="1:4" x14ac:dyDescent="0.2">
      <c r="B29" t="s">
        <v>107</v>
      </c>
      <c r="C29" s="18">
        <f>7*10.5</f>
        <v>73.5</v>
      </c>
    </row>
    <row r="30" spans="1:4" x14ac:dyDescent="0.2">
      <c r="B30" t="s">
        <v>108</v>
      </c>
      <c r="C30" s="18">
        <f>7*10.5</f>
        <v>73.5</v>
      </c>
    </row>
    <row r="31" spans="1:4" x14ac:dyDescent="0.2">
      <c r="B31" t="s">
        <v>109</v>
      </c>
      <c r="C31" s="18">
        <f>7*3.5</f>
        <v>24.5</v>
      </c>
    </row>
    <row r="32" spans="1:4" x14ac:dyDescent="0.2">
      <c r="B32" t="s">
        <v>110</v>
      </c>
      <c r="C32" s="18">
        <f>7*3.5</f>
        <v>24.5</v>
      </c>
    </row>
    <row r="33" spans="1:4" x14ac:dyDescent="0.2">
      <c r="B33" t="s">
        <v>111</v>
      </c>
      <c r="C33" s="18">
        <f>3.5*14</f>
        <v>49</v>
      </c>
    </row>
    <row r="34" spans="1:4" x14ac:dyDescent="0.2">
      <c r="B34" t="s">
        <v>112</v>
      </c>
      <c r="C34" s="18">
        <f>7*7</f>
        <v>49</v>
      </c>
    </row>
    <row r="35" spans="1:4" x14ac:dyDescent="0.2">
      <c r="B35" t="s">
        <v>113</v>
      </c>
      <c r="C35" s="18">
        <f>7*7</f>
        <v>49</v>
      </c>
    </row>
    <row r="36" spans="1:4" x14ac:dyDescent="0.2">
      <c r="B36" t="s">
        <v>114</v>
      </c>
      <c r="C36" s="18">
        <f>7*10.5</f>
        <v>73.5</v>
      </c>
      <c r="D36" s="16">
        <f>C36</f>
        <v>73.5</v>
      </c>
    </row>
    <row r="38" spans="1:4" x14ac:dyDescent="0.2">
      <c r="A38" t="s">
        <v>115</v>
      </c>
      <c r="B38" s="15" t="s">
        <v>116</v>
      </c>
      <c r="C38" s="16">
        <f>14*7</f>
        <v>98</v>
      </c>
      <c r="D38" s="16">
        <f>SUM(C38:C38)</f>
        <v>98</v>
      </c>
    </row>
    <row r="40" spans="1:4" x14ac:dyDescent="0.2">
      <c r="A40" t="s">
        <v>117</v>
      </c>
      <c r="B40" s="15" t="s">
        <v>118</v>
      </c>
      <c r="C40" s="16">
        <f>(42*2)+(21*2)+(2*2*28)</f>
        <v>238</v>
      </c>
      <c r="D40" s="16">
        <f>C40</f>
        <v>238</v>
      </c>
    </row>
    <row r="42" spans="1:4" x14ac:dyDescent="0.2">
      <c r="B42" s="17" t="s">
        <v>119</v>
      </c>
      <c r="D42" s="19">
        <f>SUM(D4:D40)</f>
        <v>2614.5</v>
      </c>
    </row>
    <row r="44" spans="1:4" x14ac:dyDescent="0.2">
      <c r="B44" s="17" t="s">
        <v>120</v>
      </c>
    </row>
    <row r="46" spans="1:4" x14ac:dyDescent="0.2">
      <c r="A46" t="s">
        <v>121</v>
      </c>
      <c r="B46" t="s">
        <v>122</v>
      </c>
      <c r="C46" s="18">
        <f>14*14</f>
        <v>196</v>
      </c>
      <c r="D46" s="16">
        <f>SUM(C46:C46)</f>
        <v>196</v>
      </c>
    </row>
    <row r="47" spans="1:4" x14ac:dyDescent="0.2">
      <c r="B47"/>
      <c r="C47" s="18"/>
    </row>
    <row r="48" spans="1:4" x14ac:dyDescent="0.2">
      <c r="A48" t="s">
        <v>123</v>
      </c>
      <c r="B48" t="s">
        <v>124</v>
      </c>
      <c r="C48" s="18">
        <f>14*7</f>
        <v>98</v>
      </c>
      <c r="D48" s="16">
        <f>C48+C49</f>
        <v>171.5</v>
      </c>
    </row>
    <row r="49" spans="1:4" x14ac:dyDescent="0.2">
      <c r="B49" t="s">
        <v>125</v>
      </c>
      <c r="C49" s="18">
        <f>7*10.5</f>
        <v>73.5</v>
      </c>
    </row>
    <row r="51" spans="1:4" x14ac:dyDescent="0.2">
      <c r="A51" t="s">
        <v>126</v>
      </c>
      <c r="B51" s="15" t="s">
        <v>126</v>
      </c>
      <c r="C51" s="16">
        <f>7*7</f>
        <v>49</v>
      </c>
      <c r="D51" s="16">
        <f>SUM(C51:C53)</f>
        <v>122.5</v>
      </c>
    </row>
    <row r="52" spans="1:4" x14ac:dyDescent="0.2">
      <c r="B52" s="15" t="s">
        <v>127</v>
      </c>
      <c r="C52" s="16">
        <v>49</v>
      </c>
    </row>
    <row r="53" spans="1:4" x14ac:dyDescent="0.2">
      <c r="B53" s="15" t="s">
        <v>128</v>
      </c>
      <c r="C53" s="16">
        <f>7*3.5</f>
        <v>24.5</v>
      </c>
    </row>
    <row r="55" spans="1:4" x14ac:dyDescent="0.2">
      <c r="A55" t="s">
        <v>129</v>
      </c>
      <c r="B55" s="15" t="s">
        <v>130</v>
      </c>
      <c r="C55" s="16">
        <f>14*7</f>
        <v>98</v>
      </c>
      <c r="D55" s="16">
        <f>SUM(C55:C56)</f>
        <v>196</v>
      </c>
    </row>
    <row r="56" spans="1:4" x14ac:dyDescent="0.2">
      <c r="B56" s="15" t="s">
        <v>131</v>
      </c>
      <c r="C56" s="16">
        <f>14*7</f>
        <v>98</v>
      </c>
    </row>
    <row r="58" spans="1:4" x14ac:dyDescent="0.2">
      <c r="B58" s="17" t="s">
        <v>119</v>
      </c>
      <c r="D58" s="19">
        <f>SUM(D46:D56)</f>
        <v>686</v>
      </c>
    </row>
    <row r="60" spans="1:4" x14ac:dyDescent="0.2">
      <c r="B60" s="17" t="s">
        <v>132</v>
      </c>
      <c r="D60" s="19">
        <f>D42+D58</f>
        <v>3300.5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0"/>
  <sheetViews>
    <sheetView view="pageBreakPreview" topLeftCell="A4" zoomScaleNormal="100" zoomScaleSheetLayoutView="100" workbookViewId="0">
      <selection activeCell="D11" sqref="D11"/>
    </sheetView>
  </sheetViews>
  <sheetFormatPr defaultColWidth="9.140625" defaultRowHeight="15.75" x14ac:dyDescent="0.25"/>
  <cols>
    <col min="1" max="1" width="7" style="1" customWidth="1"/>
    <col min="2" max="2" width="7.7109375" style="2" customWidth="1"/>
    <col min="3" max="3" width="49.7109375" style="1" customWidth="1"/>
    <col min="4" max="4" width="11.7109375" style="1" customWidth="1"/>
    <col min="5" max="5" width="8.140625" style="1" customWidth="1"/>
    <col min="6" max="6" width="15.7109375" style="1" customWidth="1"/>
    <col min="7" max="7" width="16.7109375" style="1" customWidth="1"/>
    <col min="8" max="8" width="15.28515625" style="1" customWidth="1"/>
    <col min="9" max="16384" width="9.140625" style="1"/>
  </cols>
  <sheetData>
    <row r="1" spans="1:8" x14ac:dyDescent="0.25">
      <c r="C1" s="3" t="s">
        <v>309</v>
      </c>
    </row>
    <row r="2" spans="1:8" x14ac:dyDescent="0.25">
      <c r="C2" s="3" t="s">
        <v>19</v>
      </c>
    </row>
    <row r="3" spans="1:8" ht="16.5" thickBot="1" x14ac:dyDescent="0.3"/>
    <row r="4" spans="1:8" x14ac:dyDescent="0.25">
      <c r="A4" s="30" t="s">
        <v>72</v>
      </c>
      <c r="B4" s="21"/>
      <c r="C4" s="31" t="s">
        <v>46</v>
      </c>
      <c r="D4" s="31" t="s">
        <v>73</v>
      </c>
      <c r="E4" s="31" t="s">
        <v>74</v>
      </c>
      <c r="F4" s="31" t="s">
        <v>247</v>
      </c>
      <c r="G4" s="48" t="s">
        <v>248</v>
      </c>
      <c r="H4" s="47" t="s">
        <v>249</v>
      </c>
    </row>
    <row r="5" spans="1:8" ht="16.5" thickBot="1" x14ac:dyDescent="0.3">
      <c r="A5" s="33" t="s">
        <v>53</v>
      </c>
      <c r="B5" s="26"/>
      <c r="C5" s="20"/>
      <c r="D5" s="20"/>
      <c r="E5" s="20"/>
      <c r="F5" s="50" t="s">
        <v>250</v>
      </c>
      <c r="G5" s="51" t="s">
        <v>199</v>
      </c>
      <c r="H5" s="52" t="s">
        <v>251</v>
      </c>
    </row>
    <row r="6" spans="1:8" x14ac:dyDescent="0.25">
      <c r="A6" s="40"/>
      <c r="B6" s="41"/>
      <c r="C6" s="42"/>
      <c r="D6" s="42"/>
      <c r="E6" s="42"/>
    </row>
    <row r="7" spans="1:8" x14ac:dyDescent="0.25">
      <c r="A7" s="43" t="s">
        <v>47</v>
      </c>
      <c r="B7" s="36"/>
      <c r="C7" s="34" t="s">
        <v>48</v>
      </c>
      <c r="D7" s="23"/>
      <c r="E7" s="23"/>
    </row>
    <row r="8" spans="1:8" x14ac:dyDescent="0.25">
      <c r="A8" s="44"/>
      <c r="B8" s="36"/>
      <c r="C8" s="23"/>
      <c r="D8" s="23"/>
      <c r="E8" s="23"/>
    </row>
    <row r="9" spans="1:8" x14ac:dyDescent="0.25">
      <c r="A9" s="43">
        <v>750</v>
      </c>
      <c r="B9" s="36" t="s">
        <v>4</v>
      </c>
      <c r="C9" s="34" t="s">
        <v>18</v>
      </c>
      <c r="D9" s="23"/>
      <c r="E9" s="23"/>
    </row>
    <row r="10" spans="1:8" x14ac:dyDescent="0.25">
      <c r="A10" s="43">
        <v>750</v>
      </c>
      <c r="B10" s="36" t="s">
        <v>2</v>
      </c>
      <c r="C10" s="34" t="s">
        <v>18</v>
      </c>
      <c r="D10" s="23"/>
      <c r="E10" s="23"/>
      <c r="H10" s="3">
        <f>SUM(G11:G13)/100000</f>
        <v>201.2</v>
      </c>
    </row>
    <row r="11" spans="1:8" ht="31.5" customHeight="1" x14ac:dyDescent="0.25">
      <c r="A11" s="43"/>
      <c r="B11" s="37" t="s">
        <v>5</v>
      </c>
      <c r="C11" s="24" t="s">
        <v>287</v>
      </c>
      <c r="D11" s="72">
        <f>(25 *4048)*0.5</f>
        <v>50600</v>
      </c>
      <c r="E11" s="72" t="s">
        <v>21</v>
      </c>
      <c r="F11" s="72">
        <v>200</v>
      </c>
      <c r="G11" s="73">
        <f>+F11*D11</f>
        <v>10120000</v>
      </c>
    </row>
    <row r="12" spans="1:8" ht="31.5" customHeight="1" x14ac:dyDescent="0.25">
      <c r="A12" s="43"/>
      <c r="B12" s="37" t="s">
        <v>5</v>
      </c>
      <c r="C12" s="24" t="s">
        <v>401</v>
      </c>
      <c r="D12" s="72">
        <v>1</v>
      </c>
      <c r="E12" s="72" t="s">
        <v>254</v>
      </c>
      <c r="F12" s="72">
        <v>5000000</v>
      </c>
      <c r="G12" s="73">
        <f>+F12*D12</f>
        <v>5000000</v>
      </c>
    </row>
    <row r="13" spans="1:8" ht="31.5" customHeight="1" x14ac:dyDescent="0.25">
      <c r="A13" s="43"/>
      <c r="B13" s="37" t="s">
        <v>5</v>
      </c>
      <c r="C13" s="24" t="s">
        <v>402</v>
      </c>
      <c r="D13" s="72">
        <v>1</v>
      </c>
      <c r="E13" s="72" t="s">
        <v>254</v>
      </c>
      <c r="F13" s="72">
        <v>5000000</v>
      </c>
      <c r="G13" s="73">
        <f>+F13*D13</f>
        <v>5000000</v>
      </c>
    </row>
    <row r="14" spans="1:8" x14ac:dyDescent="0.25">
      <c r="A14" s="43">
        <v>751</v>
      </c>
      <c r="B14" s="36" t="s">
        <v>4</v>
      </c>
      <c r="C14" s="34" t="s">
        <v>20</v>
      </c>
      <c r="D14" s="67"/>
      <c r="E14" s="67"/>
    </row>
    <row r="15" spans="1:8" x14ac:dyDescent="0.25">
      <c r="A15" s="43">
        <v>751</v>
      </c>
      <c r="B15" s="36" t="s">
        <v>2</v>
      </c>
      <c r="C15" s="34" t="s">
        <v>20</v>
      </c>
      <c r="D15" s="23"/>
      <c r="E15" s="23"/>
      <c r="H15" s="3">
        <f>SUM(G16:G22)/100000</f>
        <v>10218.6</v>
      </c>
    </row>
    <row r="16" spans="1:8" ht="31.5" x14ac:dyDescent="0.25">
      <c r="A16" s="44"/>
      <c r="B16" s="75" t="s">
        <v>5</v>
      </c>
      <c r="C16" s="24" t="s">
        <v>372</v>
      </c>
      <c r="D16" s="82">
        <v>13000</v>
      </c>
      <c r="E16" s="72" t="s">
        <v>21</v>
      </c>
      <c r="F16" s="81">
        <v>35000</v>
      </c>
      <c r="G16" s="73">
        <f>+F16*D16</f>
        <v>455000000</v>
      </c>
    </row>
    <row r="17" spans="1:12" ht="31.5" x14ac:dyDescent="0.25">
      <c r="A17" s="44"/>
      <c r="B17" s="75" t="s">
        <v>5</v>
      </c>
      <c r="C17" s="24" t="s">
        <v>377</v>
      </c>
      <c r="D17" s="82">
        <v>3100</v>
      </c>
      <c r="E17" s="72" t="s">
        <v>21</v>
      </c>
      <c r="F17" s="81">
        <v>33000</v>
      </c>
      <c r="G17" s="73">
        <f>+F17*D17</f>
        <v>102300000</v>
      </c>
      <c r="H17" s="46"/>
    </row>
    <row r="18" spans="1:12" x14ac:dyDescent="0.25">
      <c r="A18" s="44"/>
      <c r="B18" s="32"/>
      <c r="C18" s="24" t="s">
        <v>370</v>
      </c>
      <c r="D18" s="82">
        <v>9000</v>
      </c>
      <c r="E18" s="72" t="s">
        <v>21</v>
      </c>
      <c r="F18" s="81">
        <v>35000</v>
      </c>
      <c r="G18" s="73">
        <f t="shared" ref="G18:G20" si="0">+F18*D18</f>
        <v>315000000</v>
      </c>
      <c r="H18" s="46"/>
    </row>
    <row r="19" spans="1:12" x14ac:dyDescent="0.25">
      <c r="A19" s="44"/>
      <c r="B19" s="32"/>
      <c r="C19" s="24" t="s">
        <v>371</v>
      </c>
      <c r="D19" s="82">
        <v>3500</v>
      </c>
      <c r="E19" s="72" t="s">
        <v>21</v>
      </c>
      <c r="F19" s="81">
        <v>35000</v>
      </c>
      <c r="G19" s="73">
        <f t="shared" si="0"/>
        <v>122500000</v>
      </c>
      <c r="H19" s="46"/>
    </row>
    <row r="20" spans="1:12" x14ac:dyDescent="0.25">
      <c r="A20" s="44"/>
      <c r="B20" s="32"/>
      <c r="C20" s="24" t="s">
        <v>386</v>
      </c>
      <c r="D20" s="82">
        <v>1</v>
      </c>
      <c r="E20" s="72" t="s">
        <v>254</v>
      </c>
      <c r="F20" s="72">
        <f>6000000*0.82</f>
        <v>4920000</v>
      </c>
      <c r="G20" s="73">
        <f t="shared" si="0"/>
        <v>4920000</v>
      </c>
      <c r="H20" s="46"/>
    </row>
    <row r="21" spans="1:12" x14ac:dyDescent="0.25">
      <c r="A21" s="44"/>
      <c r="B21" s="32"/>
      <c r="C21" s="24" t="s">
        <v>376</v>
      </c>
      <c r="D21" s="72">
        <v>4</v>
      </c>
      <c r="E21" s="72" t="s">
        <v>375</v>
      </c>
      <c r="F21" s="72">
        <f>3000000*0.82</f>
        <v>2460000</v>
      </c>
      <c r="G21" s="73">
        <f>+F21*D21</f>
        <v>9840000</v>
      </c>
      <c r="H21" s="46"/>
    </row>
    <row r="22" spans="1:12" ht="80.25" customHeight="1" x14ac:dyDescent="0.25">
      <c r="A22" s="44"/>
      <c r="B22" s="75" t="s">
        <v>5</v>
      </c>
      <c r="C22" s="38" t="s">
        <v>378</v>
      </c>
      <c r="D22" s="72">
        <v>1</v>
      </c>
      <c r="E22" s="72" t="s">
        <v>133</v>
      </c>
      <c r="F22" s="72">
        <f>15000000*0.82</f>
        <v>12300000</v>
      </c>
      <c r="G22" s="73">
        <f>+F22*D22</f>
        <v>12300000</v>
      </c>
    </row>
    <row r="23" spans="1:12" x14ac:dyDescent="0.25">
      <c r="A23" s="44"/>
      <c r="B23" s="32"/>
      <c r="C23" s="38"/>
      <c r="D23" s="23"/>
      <c r="E23" s="23"/>
      <c r="K23" s="46"/>
      <c r="L23" s="46"/>
    </row>
    <row r="24" spans="1:12" x14ac:dyDescent="0.25">
      <c r="A24" s="43">
        <v>752</v>
      </c>
      <c r="B24" s="36" t="s">
        <v>4</v>
      </c>
      <c r="C24" s="34" t="s">
        <v>22</v>
      </c>
      <c r="D24" s="23"/>
      <c r="E24" s="23"/>
      <c r="H24" s="3">
        <f>+SUM(G25:G30)/100000</f>
        <v>732.8</v>
      </c>
      <c r="K24" s="46"/>
      <c r="L24" s="46"/>
    </row>
    <row r="25" spans="1:12" x14ac:dyDescent="0.25">
      <c r="A25" s="43"/>
      <c r="B25" s="36"/>
      <c r="C25" s="23" t="s">
        <v>285</v>
      </c>
      <c r="D25" s="23">
        <v>2000</v>
      </c>
      <c r="E25" s="23" t="s">
        <v>21</v>
      </c>
      <c r="F25" s="81">
        <v>35000</v>
      </c>
      <c r="G25" s="1">
        <f t="shared" ref="G25:G26" si="1">+F25*D25</f>
        <v>70000000</v>
      </c>
      <c r="K25" s="46"/>
      <c r="L25" s="46"/>
    </row>
    <row r="26" spans="1:12" x14ac:dyDescent="0.25">
      <c r="A26" s="43"/>
      <c r="B26" s="36"/>
      <c r="C26" s="23" t="s">
        <v>286</v>
      </c>
      <c r="D26" s="23">
        <v>0</v>
      </c>
      <c r="E26" s="23" t="s">
        <v>21</v>
      </c>
      <c r="F26" s="81">
        <v>30000</v>
      </c>
      <c r="G26" s="1">
        <f t="shared" si="1"/>
        <v>0</v>
      </c>
      <c r="K26" s="46"/>
      <c r="L26" s="46"/>
    </row>
    <row r="27" spans="1:12" x14ac:dyDescent="0.25">
      <c r="A27" s="43"/>
      <c r="B27" s="36"/>
      <c r="C27" s="23" t="s">
        <v>333</v>
      </c>
      <c r="D27" s="23">
        <v>0</v>
      </c>
      <c r="E27" s="23" t="s">
        <v>21</v>
      </c>
      <c r="F27" s="81">
        <v>0</v>
      </c>
      <c r="G27" s="1">
        <f t="shared" ref="G27:G29" si="2">+F27*D27</f>
        <v>0</v>
      </c>
      <c r="K27" s="46"/>
      <c r="L27" s="46"/>
    </row>
    <row r="28" spans="1:12" x14ac:dyDescent="0.25">
      <c r="A28" s="43"/>
      <c r="B28" s="36"/>
      <c r="C28" s="23" t="s">
        <v>373</v>
      </c>
      <c r="D28" s="23">
        <v>0</v>
      </c>
      <c r="E28" s="23" t="s">
        <v>21</v>
      </c>
      <c r="F28" s="81">
        <v>0</v>
      </c>
      <c r="G28" s="1">
        <f t="shared" ref="G28" si="3">+F28*D28</f>
        <v>0</v>
      </c>
      <c r="K28" s="46"/>
      <c r="L28" s="46"/>
    </row>
    <row r="29" spans="1:12" x14ac:dyDescent="0.25">
      <c r="A29" s="43"/>
      <c r="B29" s="36"/>
      <c r="C29" s="23" t="s">
        <v>332</v>
      </c>
      <c r="D29" s="23">
        <v>0</v>
      </c>
      <c r="E29" s="23" t="s">
        <v>21</v>
      </c>
      <c r="F29" s="81">
        <v>0</v>
      </c>
      <c r="G29" s="1">
        <f t="shared" si="2"/>
        <v>0</v>
      </c>
      <c r="K29" s="46"/>
      <c r="L29" s="46"/>
    </row>
    <row r="30" spans="1:12" x14ac:dyDescent="0.25">
      <c r="A30" s="44"/>
      <c r="B30" s="32"/>
      <c r="C30" s="23" t="s">
        <v>374</v>
      </c>
      <c r="D30" s="23">
        <v>200</v>
      </c>
      <c r="E30" s="23" t="s">
        <v>21</v>
      </c>
      <c r="F30" s="81">
        <v>16400</v>
      </c>
      <c r="G30" s="1">
        <f t="shared" ref="G30" si="4">+F30*D30</f>
        <v>3280000</v>
      </c>
      <c r="H30" s="46"/>
    </row>
    <row r="31" spans="1:12" x14ac:dyDescent="0.25">
      <c r="A31" s="43">
        <v>753</v>
      </c>
      <c r="B31" s="36" t="s">
        <v>4</v>
      </c>
      <c r="C31" s="34" t="s">
        <v>24</v>
      </c>
      <c r="D31" s="23"/>
      <c r="E31" s="23"/>
    </row>
    <row r="32" spans="1:12" x14ac:dyDescent="0.25">
      <c r="A32" s="43">
        <v>753</v>
      </c>
      <c r="B32" s="36" t="s">
        <v>2</v>
      </c>
      <c r="C32" s="34" t="s">
        <v>24</v>
      </c>
      <c r="D32" s="23"/>
      <c r="E32" s="23"/>
      <c r="G32" s="46"/>
      <c r="H32" s="28">
        <f>SUM(G33:G38)/100000</f>
        <v>662.14499999999998</v>
      </c>
    </row>
    <row r="33" spans="1:8" x14ac:dyDescent="0.25">
      <c r="A33" s="44"/>
      <c r="B33" s="35" t="s">
        <v>5</v>
      </c>
      <c r="C33" s="23" t="s">
        <v>31</v>
      </c>
      <c r="D33" s="23">
        <v>150</v>
      </c>
      <c r="E33" s="23" t="s">
        <v>23</v>
      </c>
      <c r="F33" s="81">
        <f>45000*0.82</f>
        <v>36900</v>
      </c>
      <c r="G33" s="23">
        <f t="shared" ref="G33:G70" si="5">+F33*D33</f>
        <v>5535000</v>
      </c>
    </row>
    <row r="34" spans="1:8" x14ac:dyDescent="0.25">
      <c r="A34" s="44"/>
      <c r="B34" s="35" t="s">
        <v>5</v>
      </c>
      <c r="C34" s="23" t="s">
        <v>32</v>
      </c>
      <c r="D34" s="23">
        <v>75</v>
      </c>
      <c r="E34" s="23" t="s">
        <v>23</v>
      </c>
      <c r="F34" s="81">
        <f>45000*0.82</f>
        <v>36900</v>
      </c>
      <c r="G34" s="23">
        <f t="shared" si="5"/>
        <v>2767500</v>
      </c>
    </row>
    <row r="35" spans="1:8" x14ac:dyDescent="0.25">
      <c r="A35" s="44"/>
      <c r="B35" s="35" t="s">
        <v>5</v>
      </c>
      <c r="C35" s="23" t="s">
        <v>288</v>
      </c>
      <c r="D35" s="23">
        <v>200</v>
      </c>
      <c r="E35" s="23" t="s">
        <v>133</v>
      </c>
      <c r="F35" s="23">
        <f>25000*0.82</f>
        <v>20500</v>
      </c>
      <c r="G35" s="23">
        <f t="shared" si="5"/>
        <v>4100000</v>
      </c>
    </row>
    <row r="36" spans="1:8" x14ac:dyDescent="0.25">
      <c r="A36" s="44"/>
      <c r="B36" s="35" t="s">
        <v>5</v>
      </c>
      <c r="C36" s="23" t="s">
        <v>379</v>
      </c>
      <c r="D36" s="23">
        <v>2</v>
      </c>
      <c r="E36" s="23" t="s">
        <v>133</v>
      </c>
      <c r="F36" s="23">
        <f>800000*0.82</f>
        <v>656000</v>
      </c>
      <c r="G36" s="23">
        <f t="shared" ref="G36:G37" si="6">+F36*D36</f>
        <v>1312000</v>
      </c>
    </row>
    <row r="37" spans="1:8" x14ac:dyDescent="0.25">
      <c r="A37" s="44"/>
      <c r="B37" s="35" t="s">
        <v>5</v>
      </c>
      <c r="C37" s="23" t="s">
        <v>391</v>
      </c>
      <c r="D37" s="23">
        <v>750</v>
      </c>
      <c r="E37" s="23" t="s">
        <v>23</v>
      </c>
      <c r="F37" s="81">
        <v>35000</v>
      </c>
      <c r="G37" s="23">
        <f t="shared" si="6"/>
        <v>26250000</v>
      </c>
    </row>
    <row r="38" spans="1:8" x14ac:dyDescent="0.25">
      <c r="A38" s="44"/>
      <c r="B38" s="35" t="s">
        <v>5</v>
      </c>
      <c r="C38" s="23" t="s">
        <v>392</v>
      </c>
      <c r="D38" s="23">
        <v>750</v>
      </c>
      <c r="E38" s="23" t="s">
        <v>23</v>
      </c>
      <c r="F38" s="81">
        <v>35000</v>
      </c>
      <c r="G38" s="23">
        <f t="shared" si="5"/>
        <v>26250000</v>
      </c>
    </row>
    <row r="39" spans="1:8" x14ac:dyDescent="0.25">
      <c r="A39" s="44"/>
      <c r="B39" s="32"/>
      <c r="C39" s="23"/>
      <c r="D39" s="23"/>
      <c r="E39" s="23"/>
      <c r="F39" s="23"/>
      <c r="G39" s="23"/>
    </row>
    <row r="40" spans="1:8" x14ac:dyDescent="0.25">
      <c r="A40" s="43">
        <v>754</v>
      </c>
      <c r="B40" s="36" t="s">
        <v>4</v>
      </c>
      <c r="C40" s="34" t="s">
        <v>25</v>
      </c>
      <c r="D40" s="23"/>
      <c r="E40" s="23"/>
      <c r="F40" s="23"/>
      <c r="G40" s="23"/>
    </row>
    <row r="41" spans="1:8" x14ac:dyDescent="0.25">
      <c r="A41" s="43">
        <v>754</v>
      </c>
      <c r="B41" s="36" t="s">
        <v>2</v>
      </c>
      <c r="C41" s="34" t="s">
        <v>25</v>
      </c>
      <c r="D41" s="23"/>
      <c r="E41" s="23"/>
      <c r="F41" s="23"/>
      <c r="G41" s="23"/>
      <c r="H41" s="3">
        <f>+G42/100000</f>
        <v>246</v>
      </c>
    </row>
    <row r="42" spans="1:8" x14ac:dyDescent="0.25">
      <c r="A42" s="44"/>
      <c r="B42" s="35" t="s">
        <v>5</v>
      </c>
      <c r="C42" s="22" t="s">
        <v>207</v>
      </c>
      <c r="D42" s="23">
        <v>1200</v>
      </c>
      <c r="E42" s="23" t="s">
        <v>383</v>
      </c>
      <c r="F42" s="23">
        <v>20500</v>
      </c>
      <c r="G42" s="23">
        <f>D42*F42</f>
        <v>24600000</v>
      </c>
      <c r="H42" s="3"/>
    </row>
    <row r="43" spans="1:8" x14ac:dyDescent="0.25">
      <c r="A43" s="44"/>
      <c r="B43" s="32"/>
      <c r="C43" s="23"/>
      <c r="D43" s="23"/>
      <c r="E43" s="23"/>
      <c r="F43" s="23"/>
      <c r="G43" s="23"/>
    </row>
    <row r="44" spans="1:8" x14ac:dyDescent="0.25">
      <c r="A44" s="43">
        <v>764</v>
      </c>
      <c r="B44" s="36" t="s">
        <v>4</v>
      </c>
      <c r="C44" s="34" t="s">
        <v>135</v>
      </c>
      <c r="D44" s="23"/>
      <c r="E44" s="23"/>
      <c r="F44" s="23"/>
      <c r="G44" s="23"/>
    </row>
    <row r="45" spans="1:8" ht="31.5" x14ac:dyDescent="0.25">
      <c r="A45" s="44"/>
      <c r="B45" s="80" t="s">
        <v>2</v>
      </c>
      <c r="C45" s="39" t="s">
        <v>37</v>
      </c>
      <c r="D45" s="23"/>
      <c r="E45" s="23"/>
      <c r="F45" s="23"/>
      <c r="G45" s="23"/>
      <c r="H45" s="3">
        <f>SUM(G46:G48)/100000</f>
        <v>0</v>
      </c>
    </row>
    <row r="46" spans="1:8" x14ac:dyDescent="0.25">
      <c r="A46" s="44"/>
      <c r="B46" s="35" t="s">
        <v>5</v>
      </c>
      <c r="C46" s="23" t="s">
        <v>136</v>
      </c>
      <c r="D46" s="23">
        <v>1</v>
      </c>
      <c r="E46" s="23" t="s">
        <v>133</v>
      </c>
      <c r="F46" s="83">
        <v>0</v>
      </c>
      <c r="G46" s="23">
        <f t="shared" si="5"/>
        <v>0</v>
      </c>
      <c r="H46" s="3"/>
    </row>
    <row r="47" spans="1:8" x14ac:dyDescent="0.25">
      <c r="A47" s="44"/>
      <c r="B47" s="35" t="s">
        <v>5</v>
      </c>
      <c r="C47" s="23" t="s">
        <v>269</v>
      </c>
      <c r="D47" s="23">
        <v>1</v>
      </c>
      <c r="E47" s="23" t="s">
        <v>133</v>
      </c>
      <c r="F47" s="83">
        <v>0</v>
      </c>
      <c r="G47" s="23">
        <f t="shared" si="5"/>
        <v>0</v>
      </c>
    </row>
    <row r="48" spans="1:8" x14ac:dyDescent="0.25">
      <c r="A48" s="44"/>
      <c r="B48" s="35" t="s">
        <v>5</v>
      </c>
      <c r="C48" s="23" t="s">
        <v>0</v>
      </c>
      <c r="D48" s="23">
        <v>1</v>
      </c>
      <c r="E48" s="23" t="s">
        <v>133</v>
      </c>
      <c r="F48" s="83">
        <v>0</v>
      </c>
      <c r="G48" s="23">
        <f t="shared" si="5"/>
        <v>0</v>
      </c>
    </row>
    <row r="49" spans="1:8" x14ac:dyDescent="0.25">
      <c r="A49" s="44"/>
      <c r="B49" s="35"/>
      <c r="C49" s="23"/>
      <c r="D49" s="23"/>
      <c r="E49" s="23"/>
      <c r="F49" s="23"/>
      <c r="G49" s="23"/>
    </row>
    <row r="50" spans="1:8" x14ac:dyDescent="0.25">
      <c r="A50" s="43">
        <v>766</v>
      </c>
      <c r="B50" s="36" t="s">
        <v>4</v>
      </c>
      <c r="C50" s="34" t="s">
        <v>62</v>
      </c>
      <c r="D50" s="23"/>
      <c r="E50" s="23"/>
      <c r="F50" s="23"/>
      <c r="G50" s="23"/>
    </row>
    <row r="51" spans="1:8" x14ac:dyDescent="0.25">
      <c r="A51" s="43">
        <v>766</v>
      </c>
      <c r="B51" s="36" t="s">
        <v>2</v>
      </c>
      <c r="C51" s="34" t="s">
        <v>62</v>
      </c>
      <c r="D51" s="23"/>
      <c r="E51" s="23"/>
      <c r="F51" s="23"/>
      <c r="G51" s="23"/>
      <c r="H51" s="3">
        <f>(G52+G53)/100000</f>
        <v>1700</v>
      </c>
    </row>
    <row r="52" spans="1:8" ht="31.5" x14ac:dyDescent="0.25">
      <c r="A52" s="44"/>
      <c r="B52" s="35" t="s">
        <v>5</v>
      </c>
      <c r="C52" s="22" t="s">
        <v>403</v>
      </c>
      <c r="D52" s="23">
        <v>1</v>
      </c>
      <c r="E52" s="23" t="s">
        <v>133</v>
      </c>
      <c r="F52" s="66">
        <f>170000000</f>
        <v>170000000</v>
      </c>
      <c r="G52" s="23">
        <f t="shared" ref="G52" si="7">+F52*D52</f>
        <v>170000000</v>
      </c>
    </row>
    <row r="53" spans="1:8" ht="31.5" x14ac:dyDescent="0.25">
      <c r="A53" s="44"/>
      <c r="B53" s="35" t="s">
        <v>5</v>
      </c>
      <c r="C53" s="22" t="s">
        <v>393</v>
      </c>
      <c r="D53" s="23">
        <v>0</v>
      </c>
      <c r="E53" s="23" t="s">
        <v>133</v>
      </c>
      <c r="F53" s="66">
        <f>200000000*0.82</f>
        <v>164000000</v>
      </c>
      <c r="G53" s="23">
        <f t="shared" si="5"/>
        <v>0</v>
      </c>
    </row>
    <row r="54" spans="1:8" x14ac:dyDescent="0.25">
      <c r="A54" s="43">
        <v>768</v>
      </c>
      <c r="B54" s="36" t="s">
        <v>4</v>
      </c>
      <c r="C54" s="34" t="s">
        <v>26</v>
      </c>
      <c r="D54" s="23"/>
      <c r="E54" s="23"/>
      <c r="F54" s="23"/>
      <c r="G54" s="23"/>
    </row>
    <row r="55" spans="1:8" x14ac:dyDescent="0.25">
      <c r="A55" s="43">
        <v>768</v>
      </c>
      <c r="B55" s="36" t="s">
        <v>2</v>
      </c>
      <c r="C55" s="34" t="s">
        <v>26</v>
      </c>
      <c r="D55" s="23"/>
      <c r="E55" s="23"/>
      <c r="F55" s="23"/>
      <c r="G55" s="23"/>
      <c r="H55" s="3">
        <f>G56/100000</f>
        <v>664.2</v>
      </c>
    </row>
    <row r="56" spans="1:8" x14ac:dyDescent="0.25">
      <c r="A56" s="44"/>
      <c r="B56" s="35" t="s">
        <v>5</v>
      </c>
      <c r="C56" s="23" t="s">
        <v>27</v>
      </c>
      <c r="D56" s="23">
        <v>18000</v>
      </c>
      <c r="E56" s="23" t="s">
        <v>33</v>
      </c>
      <c r="F56" s="23">
        <f>4500*0.82</f>
        <v>3690</v>
      </c>
      <c r="G56" s="23">
        <f t="shared" si="5"/>
        <v>66420000</v>
      </c>
      <c r="H56" s="3"/>
    </row>
    <row r="57" spans="1:8" x14ac:dyDescent="0.25">
      <c r="A57" s="44"/>
      <c r="B57" s="32"/>
      <c r="C57" s="23"/>
      <c r="D57" s="23"/>
      <c r="E57" s="23"/>
      <c r="F57" s="23"/>
      <c r="G57" s="23"/>
    </row>
    <row r="58" spans="1:8" x14ac:dyDescent="0.25">
      <c r="A58" s="43">
        <v>769</v>
      </c>
      <c r="B58" s="36" t="s">
        <v>4</v>
      </c>
      <c r="C58" s="34" t="s">
        <v>34</v>
      </c>
      <c r="D58" s="23"/>
      <c r="E58" s="23"/>
      <c r="F58" s="23"/>
      <c r="G58" s="23"/>
    </row>
    <row r="59" spans="1:8" x14ac:dyDescent="0.25">
      <c r="A59" s="43">
        <v>769</v>
      </c>
      <c r="B59" s="36" t="s">
        <v>2</v>
      </c>
      <c r="C59" s="34" t="s">
        <v>28</v>
      </c>
      <c r="D59" s="23"/>
      <c r="E59" s="23"/>
      <c r="F59" s="23"/>
      <c r="G59" s="23"/>
      <c r="H59" s="3">
        <f>SUM(G60:G61)/100000</f>
        <v>164</v>
      </c>
    </row>
    <row r="60" spans="1:8" x14ac:dyDescent="0.25">
      <c r="A60" s="44"/>
      <c r="B60" s="35" t="s">
        <v>5</v>
      </c>
      <c r="C60" s="23" t="s">
        <v>204</v>
      </c>
      <c r="D60" s="23">
        <v>1</v>
      </c>
      <c r="E60" s="23" t="s">
        <v>133</v>
      </c>
      <c r="F60" s="23">
        <f>15000000*0.82</f>
        <v>12300000</v>
      </c>
      <c r="G60" s="23">
        <f t="shared" ref="G60:G61" si="8">+F60*D60</f>
        <v>12300000</v>
      </c>
    </row>
    <row r="61" spans="1:8" x14ac:dyDescent="0.25">
      <c r="A61" s="44"/>
      <c r="B61" s="35" t="s">
        <v>5</v>
      </c>
      <c r="C61" s="23" t="s">
        <v>203</v>
      </c>
      <c r="D61" s="23">
        <v>1</v>
      </c>
      <c r="E61" s="23" t="s">
        <v>133</v>
      </c>
      <c r="F61" s="23">
        <f>5000000*0.82</f>
        <v>4099999.9999999995</v>
      </c>
      <c r="G61" s="23">
        <f t="shared" si="8"/>
        <v>4099999.9999999995</v>
      </c>
    </row>
    <row r="62" spans="1:8" x14ac:dyDescent="0.25">
      <c r="A62" s="44"/>
      <c r="B62" s="32"/>
      <c r="C62" s="23"/>
      <c r="D62" s="23"/>
      <c r="E62" s="23"/>
      <c r="F62" s="23"/>
      <c r="G62" s="23"/>
      <c r="H62" s="3"/>
    </row>
    <row r="63" spans="1:8" x14ac:dyDescent="0.25">
      <c r="A63" s="43">
        <v>771</v>
      </c>
      <c r="B63" s="36" t="s">
        <v>4</v>
      </c>
      <c r="C63" s="34" t="s">
        <v>252</v>
      </c>
      <c r="D63" s="23"/>
      <c r="E63" s="23"/>
      <c r="F63" s="23"/>
      <c r="G63" s="23"/>
    </row>
    <row r="64" spans="1:8" x14ac:dyDescent="0.25">
      <c r="A64" s="43">
        <v>771</v>
      </c>
      <c r="B64" s="36" t="s">
        <v>2</v>
      </c>
      <c r="C64" s="34" t="s">
        <v>252</v>
      </c>
      <c r="D64" s="23"/>
      <c r="E64" s="23"/>
      <c r="F64" s="23"/>
      <c r="G64" s="23"/>
      <c r="H64" s="3">
        <f>SUM(G65:G70)/100000</f>
        <v>356.7</v>
      </c>
    </row>
    <row r="65" spans="1:8" x14ac:dyDescent="0.25">
      <c r="A65" s="44"/>
      <c r="B65" s="35" t="s">
        <v>5</v>
      </c>
      <c r="C65" s="23" t="s">
        <v>380</v>
      </c>
      <c r="D65" s="23">
        <v>1500</v>
      </c>
      <c r="E65" s="23" t="s">
        <v>35</v>
      </c>
      <c r="F65" s="23">
        <f>20000*0.82</f>
        <v>16400</v>
      </c>
      <c r="G65" s="23">
        <f t="shared" si="5"/>
        <v>24600000</v>
      </c>
    </row>
    <row r="66" spans="1:8" x14ac:dyDescent="0.25">
      <c r="A66" s="44"/>
      <c r="B66" s="35" t="s">
        <v>5</v>
      </c>
      <c r="C66" s="23" t="s">
        <v>36</v>
      </c>
      <c r="D66" s="23">
        <v>1</v>
      </c>
      <c r="E66" s="23" t="s">
        <v>133</v>
      </c>
      <c r="F66" s="23">
        <f>4000000*0.82</f>
        <v>3280000</v>
      </c>
      <c r="G66" s="23">
        <f t="shared" si="5"/>
        <v>3280000</v>
      </c>
    </row>
    <row r="67" spans="1:8" x14ac:dyDescent="0.25">
      <c r="A67" s="44"/>
      <c r="B67" s="35" t="s">
        <v>5</v>
      </c>
      <c r="C67" s="23" t="s">
        <v>236</v>
      </c>
      <c r="D67" s="23">
        <v>1</v>
      </c>
      <c r="E67" s="23" t="s">
        <v>133</v>
      </c>
      <c r="F67" s="23">
        <f>1500000*0.82</f>
        <v>1230000</v>
      </c>
      <c r="G67" s="23">
        <f t="shared" si="5"/>
        <v>1230000</v>
      </c>
    </row>
    <row r="68" spans="1:8" x14ac:dyDescent="0.25">
      <c r="A68" s="76"/>
      <c r="B68" s="79" t="s">
        <v>5</v>
      </c>
      <c r="C68" s="70" t="s">
        <v>237</v>
      </c>
      <c r="D68" s="78">
        <v>1</v>
      </c>
      <c r="E68" s="77" t="s">
        <v>133</v>
      </c>
      <c r="F68" s="78">
        <f>1500000*0.82</f>
        <v>1230000</v>
      </c>
      <c r="G68" s="78">
        <f t="shared" si="5"/>
        <v>1230000</v>
      </c>
    </row>
    <row r="69" spans="1:8" x14ac:dyDescent="0.25">
      <c r="A69" s="44"/>
      <c r="B69" s="35" t="s">
        <v>5</v>
      </c>
      <c r="C69" s="23" t="s">
        <v>381</v>
      </c>
      <c r="D69" s="23">
        <v>1</v>
      </c>
      <c r="E69" s="23" t="s">
        <v>133</v>
      </c>
      <c r="F69" s="23">
        <f>3000000*0.82</f>
        <v>2460000</v>
      </c>
      <c r="G69" s="23">
        <f t="shared" si="5"/>
        <v>2460000</v>
      </c>
    </row>
    <row r="70" spans="1:8" x14ac:dyDescent="0.25">
      <c r="A70" s="44"/>
      <c r="B70" s="35" t="s">
        <v>5</v>
      </c>
      <c r="C70" s="23" t="s">
        <v>382</v>
      </c>
      <c r="D70" s="23">
        <v>1</v>
      </c>
      <c r="E70" s="23" t="s">
        <v>133</v>
      </c>
      <c r="F70" s="23">
        <f>3500000*0.82</f>
        <v>2870000</v>
      </c>
      <c r="G70" s="23">
        <f t="shared" si="5"/>
        <v>2870000</v>
      </c>
    </row>
    <row r="71" spans="1:8" x14ac:dyDescent="0.25">
      <c r="A71" s="44"/>
      <c r="B71" s="32"/>
      <c r="C71" s="23"/>
      <c r="D71" s="23"/>
      <c r="E71" s="23"/>
      <c r="F71" s="23"/>
      <c r="G71" s="23"/>
    </row>
    <row r="72" spans="1:8" x14ac:dyDescent="0.25">
      <c r="A72" s="43">
        <v>772</v>
      </c>
      <c r="B72" s="36" t="s">
        <v>4</v>
      </c>
      <c r="C72" s="34" t="s">
        <v>38</v>
      </c>
      <c r="D72" s="23"/>
      <c r="E72" s="23"/>
      <c r="F72" s="23"/>
      <c r="G72" s="23"/>
    </row>
    <row r="73" spans="1:8" x14ac:dyDescent="0.25">
      <c r="A73" s="43">
        <v>772</v>
      </c>
      <c r="B73" s="36" t="s">
        <v>2</v>
      </c>
      <c r="C73" s="34" t="s">
        <v>29</v>
      </c>
      <c r="D73" s="23"/>
      <c r="E73" s="23"/>
      <c r="F73" s="23"/>
      <c r="G73" s="23"/>
    </row>
    <row r="74" spans="1:8" ht="33" customHeight="1" x14ac:dyDescent="0.25">
      <c r="A74" s="44"/>
      <c r="B74" s="35" t="s">
        <v>5</v>
      </c>
      <c r="C74" s="24" t="s">
        <v>384</v>
      </c>
      <c r="D74" s="72">
        <v>1</v>
      </c>
      <c r="E74" s="72" t="s">
        <v>133</v>
      </c>
      <c r="F74" s="81">
        <f>(0.02*(SUM(H10:H64)))*1.18</f>
        <v>352.71722200000005</v>
      </c>
      <c r="G74" s="81">
        <f>+F74*D74</f>
        <v>352.71722200000005</v>
      </c>
      <c r="H74" s="74">
        <f>G74</f>
        <v>352.71722200000005</v>
      </c>
    </row>
    <row r="75" spans="1:8" x14ac:dyDescent="0.25">
      <c r="A75" s="44"/>
      <c r="B75" s="32"/>
      <c r="C75" s="23"/>
      <c r="D75" s="23"/>
      <c r="E75" s="23"/>
      <c r="F75" s="23"/>
      <c r="G75" s="23"/>
    </row>
    <row r="76" spans="1:8" x14ac:dyDescent="0.25">
      <c r="A76" s="43">
        <v>774</v>
      </c>
      <c r="B76" s="36" t="s">
        <v>4</v>
      </c>
      <c r="C76" s="34" t="s">
        <v>30</v>
      </c>
      <c r="D76" s="23"/>
      <c r="E76" s="23"/>
      <c r="F76" s="23"/>
      <c r="G76" s="23"/>
    </row>
    <row r="77" spans="1:8" x14ac:dyDescent="0.25">
      <c r="A77" s="43">
        <v>774</v>
      </c>
      <c r="B77" s="36" t="s">
        <v>2</v>
      </c>
      <c r="C77" s="34" t="s">
        <v>30</v>
      </c>
      <c r="D77" s="23"/>
      <c r="E77" s="23"/>
      <c r="F77" s="23"/>
      <c r="G77" s="23"/>
    </row>
    <row r="78" spans="1:8" x14ac:dyDescent="0.25">
      <c r="A78" s="44"/>
      <c r="B78" s="35" t="s">
        <v>5</v>
      </c>
      <c r="C78" s="23" t="s">
        <v>387</v>
      </c>
      <c r="D78" s="23">
        <v>1</v>
      </c>
      <c r="E78" s="23"/>
      <c r="F78" s="23"/>
      <c r="G78" s="66">
        <f>+SUM(H10:H74)*3%</f>
        <v>458.95086666000003</v>
      </c>
      <c r="H78" s="63">
        <f>G78</f>
        <v>458.95086666000003</v>
      </c>
    </row>
    <row r="79" spans="1:8" x14ac:dyDescent="0.25">
      <c r="A79" s="44"/>
      <c r="B79" s="32"/>
      <c r="C79" s="23" t="s">
        <v>385</v>
      </c>
      <c r="D79" s="23">
        <v>1</v>
      </c>
      <c r="E79" s="23"/>
      <c r="F79" s="23"/>
      <c r="G79" s="66">
        <f>SUM(H10:H78)*0.18</f>
        <v>2836.3163559588002</v>
      </c>
      <c r="H79" s="84">
        <f>G79</f>
        <v>2836.3163559588002</v>
      </c>
    </row>
    <row r="80" spans="1:8" x14ac:dyDescent="0.25">
      <c r="A80" s="44"/>
      <c r="B80" s="32"/>
      <c r="C80" s="34" t="s">
        <v>41</v>
      </c>
      <c r="D80" s="23"/>
      <c r="E80" s="23"/>
      <c r="F80" s="23"/>
      <c r="G80" s="23"/>
      <c r="H80" s="63">
        <f>SUM(H10:H79)</f>
        <v>18593.6294446188</v>
      </c>
    </row>
  </sheetData>
  <phoneticPr fontId="0" type="noConversion"/>
  <printOptions horizontalCentered="1" gridLines="1"/>
  <pageMargins left="0.19685039370078741" right="0.19685039370078741" top="0.55118110236220474" bottom="0.6692913385826772" header="0.43307086614173229" footer="0.51181102362204722"/>
  <pageSetup paperSize="9" scale="70" orientation="portrait" r:id="rId1"/>
  <headerFooter alignWithMargins="0"/>
  <rowBreaks count="1" manualBreakCount="1">
    <brk id="53" max="7" man="1"/>
  </rowBreaks>
  <ignoredErrors>
    <ignoredError sqref="B14:B15 B9:B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5"/>
  <sheetViews>
    <sheetView topLeftCell="A39" workbookViewId="0">
      <selection activeCell="C3" sqref="C3"/>
    </sheetView>
  </sheetViews>
  <sheetFormatPr defaultColWidth="9.140625" defaultRowHeight="15.75" x14ac:dyDescent="0.25"/>
  <cols>
    <col min="1" max="1" width="9.5703125" style="2" bestFit="1" customWidth="1"/>
    <col min="2" max="2" width="6" style="2" bestFit="1" customWidth="1"/>
    <col min="3" max="3" width="46.42578125" style="1" customWidth="1"/>
    <col min="4" max="4" width="22.85546875" style="2" bestFit="1" customWidth="1"/>
    <col min="5" max="16384" width="9.140625" style="1"/>
  </cols>
  <sheetData>
    <row r="1" spans="1:4" x14ac:dyDescent="0.25">
      <c r="C1" s="3" t="s">
        <v>147</v>
      </c>
    </row>
    <row r="2" spans="1:4" x14ac:dyDescent="0.25">
      <c r="C2" s="2"/>
    </row>
    <row r="3" spans="1:4" x14ac:dyDescent="0.25">
      <c r="C3" s="5" t="s">
        <v>71</v>
      </c>
    </row>
    <row r="4" spans="1:4" ht="16.5" thickBot="1" x14ac:dyDescent="0.3"/>
    <row r="5" spans="1:4" x14ac:dyDescent="0.25">
      <c r="A5" s="6" t="s">
        <v>52</v>
      </c>
      <c r="B5" s="6" t="s">
        <v>54</v>
      </c>
      <c r="C5" s="6" t="s">
        <v>46</v>
      </c>
      <c r="D5" s="6" t="s">
        <v>55</v>
      </c>
    </row>
    <row r="6" spans="1:4" x14ac:dyDescent="0.25">
      <c r="A6" s="7" t="s">
        <v>53</v>
      </c>
      <c r="B6" s="7"/>
      <c r="C6" s="7"/>
      <c r="D6" s="7" t="s">
        <v>56</v>
      </c>
    </row>
    <row r="7" spans="1:4" ht="16.5" thickBot="1" x14ac:dyDescent="0.3">
      <c r="A7" s="14"/>
      <c r="B7" s="14"/>
      <c r="C7" s="14"/>
      <c r="D7" s="14" t="s">
        <v>51</v>
      </c>
    </row>
    <row r="8" spans="1:4" ht="16.5" thickBot="1" x14ac:dyDescent="0.3">
      <c r="A8" s="25">
        <v>750</v>
      </c>
      <c r="B8" s="27" t="s">
        <v>4</v>
      </c>
      <c r="C8" s="20" t="s">
        <v>18</v>
      </c>
      <c r="D8" s="10" t="e">
        <f>#REF!</f>
        <v>#REF!</v>
      </c>
    </row>
    <row r="9" spans="1:4" x14ac:dyDescent="0.25">
      <c r="A9" s="25">
        <v>750</v>
      </c>
      <c r="B9" s="27" t="s">
        <v>2</v>
      </c>
      <c r="C9" s="29" t="s">
        <v>58</v>
      </c>
      <c r="D9" s="10"/>
    </row>
    <row r="10" spans="1:4" x14ac:dyDescent="0.25">
      <c r="A10" s="8"/>
      <c r="B10" s="8"/>
      <c r="C10" s="9"/>
      <c r="D10" s="10"/>
    </row>
    <row r="11" spans="1:4" x14ac:dyDescent="0.25">
      <c r="A11" s="8">
        <v>751</v>
      </c>
      <c r="B11" s="8">
        <v>0</v>
      </c>
      <c r="C11" s="9" t="s">
        <v>59</v>
      </c>
      <c r="D11" s="10" t="e">
        <f>#REF!+#REF!+#REF!+#REF!</f>
        <v>#REF!</v>
      </c>
    </row>
    <row r="12" spans="1:4" x14ac:dyDescent="0.25">
      <c r="A12" s="8"/>
      <c r="B12" s="8"/>
      <c r="C12" s="9"/>
      <c r="D12" s="10"/>
    </row>
    <row r="13" spans="1:4" x14ac:dyDescent="0.25">
      <c r="A13" s="8">
        <v>752</v>
      </c>
      <c r="B13" s="8">
        <v>0</v>
      </c>
      <c r="C13" s="9" t="s">
        <v>60</v>
      </c>
      <c r="D13" s="10" t="e">
        <f>#REF!</f>
        <v>#REF!</v>
      </c>
    </row>
    <row r="14" spans="1:4" x14ac:dyDescent="0.25">
      <c r="A14" s="8"/>
      <c r="B14" s="8"/>
      <c r="C14" s="9"/>
      <c r="D14" s="10"/>
    </row>
    <row r="15" spans="1:4" x14ac:dyDescent="0.25">
      <c r="A15" s="8">
        <v>753</v>
      </c>
      <c r="B15" s="8">
        <v>0</v>
      </c>
      <c r="C15" s="9" t="s">
        <v>61</v>
      </c>
      <c r="D15" s="10" t="e">
        <f>#REF!</f>
        <v>#REF!</v>
      </c>
    </row>
    <row r="16" spans="1:4" x14ac:dyDescent="0.25">
      <c r="A16" s="8"/>
      <c r="B16" s="8"/>
      <c r="C16" s="9"/>
      <c r="D16" s="10"/>
    </row>
    <row r="17" spans="1:4" x14ac:dyDescent="0.25">
      <c r="A17" s="8">
        <v>754</v>
      </c>
      <c r="B17" s="8">
        <v>0</v>
      </c>
      <c r="C17" s="9" t="s">
        <v>134</v>
      </c>
      <c r="D17" s="10" t="e">
        <f>#REF!</f>
        <v>#REF!</v>
      </c>
    </row>
    <row r="18" spans="1:4" x14ac:dyDescent="0.25">
      <c r="A18" s="8"/>
      <c r="B18" s="8"/>
      <c r="C18" s="9"/>
      <c r="D18" s="10"/>
    </row>
    <row r="19" spans="1:4" x14ac:dyDescent="0.25">
      <c r="A19" s="8">
        <v>764</v>
      </c>
      <c r="B19" s="8">
        <v>0</v>
      </c>
      <c r="C19" s="9" t="s">
        <v>135</v>
      </c>
      <c r="D19" s="10" t="e">
        <f>#REF!</f>
        <v>#REF!</v>
      </c>
    </row>
    <row r="20" spans="1:4" x14ac:dyDescent="0.25">
      <c r="A20" s="8"/>
      <c r="B20" s="8"/>
      <c r="C20" s="9"/>
      <c r="D20" s="10"/>
    </row>
    <row r="21" spans="1:4" x14ac:dyDescent="0.25">
      <c r="A21" s="8">
        <v>766</v>
      </c>
      <c r="B21" s="8">
        <v>0</v>
      </c>
      <c r="C21" s="9" t="s">
        <v>62</v>
      </c>
      <c r="D21" s="10" t="e">
        <f>#REF!</f>
        <v>#REF!</v>
      </c>
    </row>
    <row r="22" spans="1:4" x14ac:dyDescent="0.25">
      <c r="A22" s="8"/>
      <c r="B22" s="8">
        <v>1</v>
      </c>
      <c r="C22" s="9" t="s">
        <v>63</v>
      </c>
      <c r="D22" s="10"/>
    </row>
    <row r="23" spans="1:4" x14ac:dyDescent="0.25">
      <c r="A23" s="8"/>
      <c r="B23" s="8"/>
      <c r="C23" s="9"/>
      <c r="D23" s="10"/>
    </row>
    <row r="24" spans="1:4" x14ac:dyDescent="0.25">
      <c r="A24" s="8">
        <v>768</v>
      </c>
      <c r="B24" s="8">
        <v>0</v>
      </c>
      <c r="C24" s="9" t="s">
        <v>64</v>
      </c>
      <c r="D24" s="10" t="e">
        <f>#REF!</f>
        <v>#REF!</v>
      </c>
    </row>
    <row r="25" spans="1:4" x14ac:dyDescent="0.25">
      <c r="A25" s="8"/>
      <c r="B25" s="8"/>
      <c r="C25" s="9"/>
      <c r="D25" s="10"/>
    </row>
    <row r="26" spans="1:4" x14ac:dyDescent="0.25">
      <c r="A26" s="8">
        <v>769</v>
      </c>
      <c r="B26" s="8">
        <v>0</v>
      </c>
      <c r="C26" s="9" t="s">
        <v>138</v>
      </c>
      <c r="D26" s="10" t="e">
        <f>#REF!</f>
        <v>#REF!</v>
      </c>
    </row>
    <row r="27" spans="1:4" x14ac:dyDescent="0.25">
      <c r="A27" s="8"/>
      <c r="B27" s="8">
        <v>1</v>
      </c>
      <c r="C27" s="9" t="s">
        <v>137</v>
      </c>
      <c r="D27" s="10"/>
    </row>
    <row r="28" spans="1:4" x14ac:dyDescent="0.25">
      <c r="A28" s="8"/>
      <c r="B28" s="8"/>
      <c r="C28" s="9"/>
      <c r="D28" s="10"/>
    </row>
    <row r="29" spans="1:4" x14ac:dyDescent="0.25">
      <c r="A29" s="8">
        <v>770</v>
      </c>
      <c r="B29" s="8">
        <v>0</v>
      </c>
      <c r="C29" s="9" t="s">
        <v>65</v>
      </c>
      <c r="D29" s="10" t="e">
        <f>#REF!</f>
        <v>#REF!</v>
      </c>
    </row>
    <row r="30" spans="1:4" x14ac:dyDescent="0.25">
      <c r="A30" s="8"/>
      <c r="B30" s="8"/>
      <c r="C30" s="9"/>
      <c r="D30" s="10"/>
    </row>
    <row r="31" spans="1:4" x14ac:dyDescent="0.25">
      <c r="A31" s="8">
        <v>771</v>
      </c>
      <c r="B31" s="8">
        <v>0</v>
      </c>
      <c r="C31" s="9" t="s">
        <v>140</v>
      </c>
      <c r="D31" s="10" t="e">
        <f>#REF!</f>
        <v>#REF!</v>
      </c>
    </row>
    <row r="32" spans="1:4" x14ac:dyDescent="0.25">
      <c r="A32" s="8"/>
      <c r="B32" s="8"/>
      <c r="C32" s="9"/>
      <c r="D32" s="10"/>
    </row>
    <row r="33" spans="1:4" x14ac:dyDescent="0.25">
      <c r="A33" s="8">
        <v>771</v>
      </c>
      <c r="B33" s="8">
        <v>0</v>
      </c>
      <c r="C33" s="9" t="s">
        <v>196</v>
      </c>
      <c r="D33" s="10" t="e">
        <f>#REF!</f>
        <v>#REF!</v>
      </c>
    </row>
    <row r="34" spans="1:4" x14ac:dyDescent="0.25">
      <c r="A34" s="8"/>
      <c r="B34" s="8"/>
      <c r="C34" s="9"/>
      <c r="D34" s="10"/>
    </row>
    <row r="35" spans="1:4" x14ac:dyDescent="0.25">
      <c r="A35" s="8"/>
      <c r="B35" s="8"/>
      <c r="C35" s="9"/>
      <c r="D35" s="10"/>
    </row>
    <row r="36" spans="1:4" x14ac:dyDescent="0.25">
      <c r="A36" s="8">
        <v>772</v>
      </c>
      <c r="B36" s="8">
        <v>0</v>
      </c>
      <c r="C36" s="9" t="s">
        <v>66</v>
      </c>
      <c r="D36" s="10" t="e">
        <f>#REF!</f>
        <v>#REF!</v>
      </c>
    </row>
    <row r="37" spans="1:4" x14ac:dyDescent="0.25">
      <c r="A37" s="8"/>
      <c r="B37" s="8">
        <v>1</v>
      </c>
      <c r="C37" s="9" t="s">
        <v>67</v>
      </c>
      <c r="D37" s="10"/>
    </row>
    <row r="38" spans="1:4" x14ac:dyDescent="0.25">
      <c r="A38" s="8"/>
      <c r="B38" s="8">
        <v>2</v>
      </c>
      <c r="C38" s="9" t="s">
        <v>68</v>
      </c>
      <c r="D38" s="10"/>
    </row>
    <row r="39" spans="1:4" x14ac:dyDescent="0.25">
      <c r="A39" s="8"/>
      <c r="B39" s="8">
        <v>3</v>
      </c>
      <c r="C39" s="9" t="s">
        <v>69</v>
      </c>
      <c r="D39" s="10"/>
    </row>
    <row r="40" spans="1:4" x14ac:dyDescent="0.25">
      <c r="A40" s="8"/>
      <c r="B40" s="8"/>
      <c r="C40" s="9"/>
      <c r="D40" s="10"/>
    </row>
    <row r="41" spans="1:4" x14ac:dyDescent="0.25">
      <c r="A41" s="8">
        <v>774</v>
      </c>
      <c r="B41" s="8"/>
      <c r="C41" s="9" t="s">
        <v>139</v>
      </c>
      <c r="D41" s="10" t="e">
        <f>#REF!</f>
        <v>#REF!</v>
      </c>
    </row>
    <row r="42" spans="1:4" x14ac:dyDescent="0.25">
      <c r="A42" s="8"/>
      <c r="B42" s="8"/>
      <c r="C42" s="9"/>
      <c r="D42" s="10"/>
    </row>
    <row r="43" spans="1:4" ht="16.5" thickBot="1" x14ac:dyDescent="0.3">
      <c r="A43" s="11"/>
      <c r="B43" s="11"/>
      <c r="C43" s="12" t="s">
        <v>70</v>
      </c>
      <c r="D43" s="13" t="e">
        <f>SUM(D8:D42)</f>
        <v>#REF!</v>
      </c>
    </row>
    <row r="45" spans="1:4" x14ac:dyDescent="0.25">
      <c r="C45" s="3"/>
    </row>
  </sheetData>
  <phoneticPr fontId="0" type="noConversion"/>
  <printOptions gridLines="1"/>
  <pageMargins left="0.94" right="0.75" top="1" bottom="1" header="0.5" footer="0.5"/>
  <pageSetup scale="90" orientation="portrait" horizontalDpi="180" verticalDpi="18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tabSelected="1" view="pageBreakPreview" zoomScaleNormal="100" zoomScaleSheetLayoutView="100" workbookViewId="0">
      <selection activeCell="B31" sqref="B31:D31"/>
    </sheetView>
  </sheetViews>
  <sheetFormatPr defaultColWidth="9.140625" defaultRowHeight="15.75" x14ac:dyDescent="0.25"/>
  <cols>
    <col min="1" max="1" width="7" style="1" customWidth="1"/>
    <col min="2" max="2" width="10" style="1" customWidth="1"/>
    <col min="3" max="3" width="52.140625" style="1" customWidth="1"/>
    <col min="4" max="4" width="25.28515625" style="1" customWidth="1"/>
    <col min="5" max="5" width="10.5703125" style="1" customWidth="1"/>
    <col min="6" max="6" width="9.140625" style="1" customWidth="1"/>
    <col min="7" max="7" width="10.5703125" style="1" customWidth="1"/>
    <col min="8" max="13" width="9.140625" style="1" customWidth="1"/>
    <col min="14" max="14" width="9.140625" style="1"/>
    <col min="15" max="15" width="10.85546875" style="1" bestFit="1" customWidth="1"/>
    <col min="16" max="16" width="5.5703125" style="1" customWidth="1"/>
    <col min="17" max="17" width="29.42578125" style="1" bestFit="1" customWidth="1"/>
    <col min="18" max="18" width="14.140625" style="1" bestFit="1" customWidth="1"/>
    <col min="19" max="16384" width="9.140625" style="1"/>
  </cols>
  <sheetData>
    <row r="1" spans="1:18" ht="30.75" customHeight="1" x14ac:dyDescent="0.25">
      <c r="A1" s="262" t="s">
        <v>682</v>
      </c>
      <c r="B1" s="262"/>
      <c r="C1" s="262"/>
      <c r="D1" s="262"/>
      <c r="R1" s="4"/>
    </row>
    <row r="2" spans="1:18" ht="25.5" customHeight="1" x14ac:dyDescent="0.25">
      <c r="A2" s="263" t="s">
        <v>685</v>
      </c>
      <c r="B2" s="263"/>
      <c r="C2" s="263"/>
      <c r="D2" s="263"/>
      <c r="E2" s="4"/>
      <c r="R2" s="4"/>
    </row>
    <row r="3" spans="1:18" x14ac:dyDescent="0.25">
      <c r="A3" s="265" t="s">
        <v>440</v>
      </c>
      <c r="B3" s="266" t="s">
        <v>46</v>
      </c>
      <c r="C3" s="266"/>
      <c r="D3" s="265" t="s">
        <v>441</v>
      </c>
      <c r="R3" s="4"/>
    </row>
    <row r="4" spans="1:18" x14ac:dyDescent="0.25">
      <c r="A4" s="265"/>
      <c r="B4" s="266"/>
      <c r="C4" s="266"/>
      <c r="D4" s="265"/>
      <c r="R4" s="4"/>
    </row>
    <row r="5" spans="1:18" x14ac:dyDescent="0.25">
      <c r="A5" s="75">
        <v>1</v>
      </c>
      <c r="B5" s="264" t="s">
        <v>48</v>
      </c>
      <c r="C5" s="264"/>
      <c r="D5" s="250">
        <f>+'Civil Cost Est.'!I63</f>
        <v>13899.409670648249</v>
      </c>
      <c r="G5" s="4"/>
      <c r="O5" s="4"/>
      <c r="Q5" s="3"/>
      <c r="R5" s="63"/>
    </row>
    <row r="6" spans="1:18" x14ac:dyDescent="0.25">
      <c r="A6" s="75">
        <v>2</v>
      </c>
      <c r="B6" s="264" t="s">
        <v>49</v>
      </c>
      <c r="C6" s="264"/>
      <c r="D6" s="81">
        <f>'Eqpt. Cost Est.'!J268</f>
        <v>10131.627806084398</v>
      </c>
      <c r="G6" s="4"/>
      <c r="O6" s="4"/>
      <c r="R6" s="4"/>
    </row>
    <row r="7" spans="1:18" x14ac:dyDescent="0.25">
      <c r="A7" s="75">
        <v>3</v>
      </c>
      <c r="B7" s="264" t="s">
        <v>50</v>
      </c>
      <c r="C7" s="264"/>
      <c r="D7" s="81">
        <f>'Eqpt. Cost Est.'!J338</f>
        <v>7361.2349999999997</v>
      </c>
      <c r="G7" s="4"/>
      <c r="R7" s="4"/>
    </row>
    <row r="8" spans="1:18" x14ac:dyDescent="0.25">
      <c r="A8" s="75">
        <v>4</v>
      </c>
      <c r="B8" s="264" t="s">
        <v>143</v>
      </c>
      <c r="C8" s="264"/>
      <c r="D8" s="81">
        <f>'Eqpt. Cost Est.'!J397</f>
        <v>694.18993139999998</v>
      </c>
      <c r="F8" s="71"/>
      <c r="G8" s="149"/>
      <c r="H8" s="71"/>
      <c r="I8" s="71"/>
      <c r="J8" s="71"/>
      <c r="K8" s="71"/>
      <c r="L8" s="71"/>
      <c r="M8" s="71"/>
      <c r="N8" s="71"/>
      <c r="O8" s="4"/>
      <c r="R8" s="4"/>
    </row>
    <row r="9" spans="1:18" x14ac:dyDescent="0.25">
      <c r="A9" s="75">
        <v>5</v>
      </c>
      <c r="B9" s="264" t="s">
        <v>144</v>
      </c>
      <c r="C9" s="264"/>
      <c r="D9" s="81">
        <f>'Eqpt. Cost Est.'!J407</f>
        <v>1909.6405374358619</v>
      </c>
      <c r="F9" s="71"/>
      <c r="G9" s="149"/>
      <c r="H9" s="71"/>
      <c r="I9" s="71"/>
      <c r="J9" s="71"/>
      <c r="K9" s="71"/>
      <c r="L9" s="71"/>
      <c r="M9" s="71"/>
      <c r="N9" s="71"/>
      <c r="O9" s="4"/>
      <c r="R9" s="4"/>
    </row>
    <row r="10" spans="1:18" ht="15.75" customHeight="1" x14ac:dyDescent="0.25">
      <c r="A10" s="75">
        <v>6</v>
      </c>
      <c r="B10" s="264" t="s">
        <v>282</v>
      </c>
      <c r="C10" s="264"/>
      <c r="D10" s="81">
        <v>25</v>
      </c>
      <c r="E10" s="71"/>
      <c r="F10" s="71"/>
      <c r="G10" s="71"/>
      <c r="H10" s="71"/>
      <c r="I10" s="71"/>
      <c r="J10" s="71"/>
      <c r="K10" s="71"/>
      <c r="L10" s="71"/>
      <c r="M10" s="71"/>
      <c r="N10" s="71"/>
      <c r="Q10" s="3"/>
      <c r="R10" s="63"/>
    </row>
    <row r="11" spans="1:18" x14ac:dyDescent="0.25">
      <c r="A11" s="75">
        <v>7</v>
      </c>
      <c r="B11" s="264" t="s">
        <v>575</v>
      </c>
      <c r="C11" s="264"/>
      <c r="D11" s="81">
        <f>(SUM(D5:D10))*4.25%</f>
        <v>1445.8968751866616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</row>
    <row r="12" spans="1:18" ht="16.5" customHeight="1" x14ac:dyDescent="0.25">
      <c r="A12" s="75"/>
      <c r="B12" s="264" t="s">
        <v>407</v>
      </c>
      <c r="C12" s="264"/>
      <c r="D12" s="81">
        <f>+D11*18%</f>
        <v>260.26143753359906</v>
      </c>
      <c r="E12" s="71"/>
      <c r="F12" s="71"/>
      <c r="G12" s="71"/>
      <c r="H12" s="71"/>
      <c r="I12" s="71"/>
      <c r="J12" s="71"/>
      <c r="K12" s="71"/>
      <c r="L12" s="71"/>
      <c r="M12" s="71"/>
      <c r="N12" s="71"/>
      <c r="Q12" s="108"/>
      <c r="R12" s="109"/>
    </row>
    <row r="13" spans="1:18" x14ac:dyDescent="0.25">
      <c r="A13" s="72"/>
      <c r="B13" s="279" t="s">
        <v>579</v>
      </c>
      <c r="C13" s="279"/>
      <c r="D13" s="251">
        <f>SUM(D5:D12)</f>
        <v>35727.261258288767</v>
      </c>
      <c r="F13" s="71"/>
      <c r="G13" s="71"/>
      <c r="H13" s="71"/>
      <c r="I13" s="71"/>
      <c r="J13" s="71"/>
      <c r="K13" s="71"/>
      <c r="L13" s="71"/>
      <c r="M13" s="71"/>
      <c r="N13" s="71"/>
      <c r="O13" s="4"/>
      <c r="R13" s="4"/>
    </row>
    <row r="14" spans="1:18" x14ac:dyDescent="0.25">
      <c r="A14" s="72"/>
      <c r="B14" s="278" t="s">
        <v>578</v>
      </c>
      <c r="C14" s="278"/>
      <c r="D14" s="252" t="s">
        <v>683</v>
      </c>
      <c r="F14" s="4"/>
    </row>
    <row r="15" spans="1:18" x14ac:dyDescent="0.25">
      <c r="A15" s="280"/>
      <c r="B15" s="281"/>
      <c r="C15" s="281"/>
      <c r="D15" s="282"/>
      <c r="R15" s="4"/>
    </row>
    <row r="16" spans="1:18" x14ac:dyDescent="0.25">
      <c r="A16" s="276" t="s">
        <v>442</v>
      </c>
      <c r="B16" s="277"/>
      <c r="C16" s="277"/>
      <c r="D16" s="277"/>
      <c r="F16"/>
      <c r="G16"/>
      <c r="H16"/>
      <c r="I16"/>
      <c r="J16"/>
    </row>
    <row r="17" spans="1:18" ht="30.75" customHeight="1" x14ac:dyDescent="0.25">
      <c r="A17" s="253">
        <v>1</v>
      </c>
      <c r="B17" s="270" t="s">
        <v>409</v>
      </c>
      <c r="C17" s="275"/>
      <c r="D17" s="275"/>
      <c r="F17"/>
      <c r="G17"/>
      <c r="H17"/>
      <c r="I17"/>
      <c r="J17"/>
    </row>
    <row r="18" spans="1:18" ht="167.25" customHeight="1" x14ac:dyDescent="0.25">
      <c r="A18" s="253">
        <v>2</v>
      </c>
      <c r="B18" s="271" t="s">
        <v>686</v>
      </c>
      <c r="C18" s="272"/>
      <c r="D18" s="272"/>
      <c r="F18"/>
      <c r="G18"/>
      <c r="H18"/>
      <c r="I18"/>
      <c r="J18"/>
    </row>
    <row r="19" spans="1:18" ht="30.75" customHeight="1" x14ac:dyDescent="0.25">
      <c r="A19" s="253">
        <v>3</v>
      </c>
      <c r="B19" s="274" t="s">
        <v>680</v>
      </c>
      <c r="C19" s="274"/>
      <c r="D19" s="274"/>
      <c r="F19"/>
      <c r="G19"/>
      <c r="H19"/>
      <c r="I19"/>
      <c r="J19"/>
      <c r="Q19" s="108"/>
      <c r="R19" s="109"/>
    </row>
    <row r="20" spans="1:18" s="64" customFormat="1" ht="15" customHeight="1" x14ac:dyDescent="0.2">
      <c r="A20" s="253">
        <v>4</v>
      </c>
      <c r="B20" s="267" t="s">
        <v>681</v>
      </c>
      <c r="C20" s="267"/>
      <c r="D20" s="267"/>
      <c r="F20" s="49"/>
      <c r="G20" s="49"/>
      <c r="H20" s="49"/>
      <c r="I20" s="49"/>
      <c r="J20" s="49"/>
    </row>
    <row r="21" spans="1:18" ht="27.75" customHeight="1" x14ac:dyDescent="0.25">
      <c r="A21" s="253">
        <v>5</v>
      </c>
      <c r="B21" s="270" t="s">
        <v>331</v>
      </c>
      <c r="C21" s="270"/>
      <c r="D21" s="270"/>
      <c r="F21"/>
      <c r="G21"/>
      <c r="H21"/>
      <c r="I21"/>
      <c r="J21"/>
    </row>
    <row r="22" spans="1:18" ht="27" customHeight="1" x14ac:dyDescent="0.25">
      <c r="A22" s="253">
        <v>6</v>
      </c>
      <c r="B22" s="270" t="s">
        <v>572</v>
      </c>
      <c r="C22" s="270"/>
      <c r="D22" s="270"/>
      <c r="F22"/>
      <c r="G22"/>
      <c r="H22"/>
      <c r="I22"/>
      <c r="J22"/>
      <c r="R22" s="107"/>
    </row>
    <row r="23" spans="1:18" ht="35.25" customHeight="1" x14ac:dyDescent="0.25">
      <c r="A23" s="253">
        <v>7</v>
      </c>
      <c r="B23" s="270" t="s">
        <v>408</v>
      </c>
      <c r="C23" s="270"/>
      <c r="D23" s="270"/>
      <c r="F23"/>
      <c r="G23"/>
      <c r="H23"/>
      <c r="I23"/>
      <c r="J23"/>
    </row>
    <row r="24" spans="1:18" ht="27" customHeight="1" x14ac:dyDescent="0.25">
      <c r="A24" s="253">
        <v>8</v>
      </c>
      <c r="B24" s="270" t="s">
        <v>656</v>
      </c>
      <c r="C24" s="270"/>
      <c r="D24" s="270"/>
      <c r="F24"/>
      <c r="G24"/>
      <c r="H24"/>
      <c r="I24"/>
      <c r="J24"/>
    </row>
    <row r="25" spans="1:18" ht="36.75" customHeight="1" x14ac:dyDescent="0.25">
      <c r="A25" s="253">
        <v>9</v>
      </c>
      <c r="B25" s="270" t="s">
        <v>569</v>
      </c>
      <c r="C25" s="270"/>
      <c r="D25" s="270"/>
      <c r="F25"/>
      <c r="G25"/>
      <c r="H25"/>
      <c r="I25"/>
      <c r="J25"/>
    </row>
    <row r="26" spans="1:18" ht="41.25" customHeight="1" x14ac:dyDescent="0.25">
      <c r="A26" s="253">
        <v>10</v>
      </c>
      <c r="B26" s="270" t="s">
        <v>570</v>
      </c>
      <c r="C26" s="270"/>
      <c r="D26" s="270"/>
      <c r="F26"/>
      <c r="G26"/>
      <c r="H26"/>
      <c r="I26"/>
      <c r="J26"/>
    </row>
    <row r="27" spans="1:18" ht="21" customHeight="1" x14ac:dyDescent="0.25">
      <c r="A27" s="253">
        <v>11</v>
      </c>
      <c r="B27" s="267" t="s">
        <v>571</v>
      </c>
      <c r="C27" s="267"/>
      <c r="D27" s="267"/>
      <c r="F27"/>
      <c r="G27"/>
      <c r="H27"/>
      <c r="I27"/>
      <c r="J27"/>
    </row>
    <row r="28" spans="1:18" ht="45.75" customHeight="1" x14ac:dyDescent="0.25">
      <c r="A28" s="253">
        <v>12</v>
      </c>
      <c r="B28" s="270" t="s">
        <v>655</v>
      </c>
      <c r="C28" s="273"/>
      <c r="D28" s="273"/>
    </row>
    <row r="29" spans="1:18" ht="40.5" customHeight="1" x14ac:dyDescent="0.25">
      <c r="A29" s="253">
        <v>13</v>
      </c>
      <c r="B29" s="267" t="s">
        <v>574</v>
      </c>
      <c r="C29" s="268"/>
      <c r="D29" s="268"/>
    </row>
    <row r="30" spans="1:18" s="64" customFormat="1" ht="51.75" customHeight="1" x14ac:dyDescent="0.25">
      <c r="A30" s="253">
        <v>14</v>
      </c>
      <c r="B30" s="267" t="s">
        <v>657</v>
      </c>
      <c r="C30" s="268"/>
      <c r="D30" s="268"/>
      <c r="Q30" s="1"/>
      <c r="R30" s="1"/>
    </row>
    <row r="31" spans="1:18" ht="18.75" customHeight="1" x14ac:dyDescent="0.25">
      <c r="A31" s="253">
        <v>15</v>
      </c>
      <c r="B31" s="267" t="s">
        <v>573</v>
      </c>
      <c r="C31" s="268"/>
      <c r="D31" s="268"/>
    </row>
    <row r="32" spans="1:18" x14ac:dyDescent="0.25">
      <c r="A32" s="269"/>
      <c r="B32" s="269"/>
      <c r="C32" s="269"/>
      <c r="D32" s="269"/>
      <c r="R32" s="4"/>
    </row>
    <row r="35" spans="17:18" x14ac:dyDescent="0.25">
      <c r="R35" s="4"/>
    </row>
    <row r="37" spans="17:18" x14ac:dyDescent="0.25">
      <c r="Q37" s="3"/>
      <c r="R37" s="63"/>
    </row>
  </sheetData>
  <mergeCells count="33">
    <mergeCell ref="B12:C12"/>
    <mergeCell ref="A16:D16"/>
    <mergeCell ref="B14:C14"/>
    <mergeCell ref="B11:C11"/>
    <mergeCell ref="B13:C13"/>
    <mergeCell ref="A15:D15"/>
    <mergeCell ref="B17:D17"/>
    <mergeCell ref="B25:D25"/>
    <mergeCell ref="B21:D21"/>
    <mergeCell ref="B22:D22"/>
    <mergeCell ref="B20:D20"/>
    <mergeCell ref="B30:D30"/>
    <mergeCell ref="A32:D32"/>
    <mergeCell ref="B26:D26"/>
    <mergeCell ref="B31:D31"/>
    <mergeCell ref="B18:D18"/>
    <mergeCell ref="B29:D29"/>
    <mergeCell ref="B27:D27"/>
    <mergeCell ref="B28:D28"/>
    <mergeCell ref="B23:D23"/>
    <mergeCell ref="B19:D19"/>
    <mergeCell ref="B24:D24"/>
    <mergeCell ref="A1:D1"/>
    <mergeCell ref="A2:D2"/>
    <mergeCell ref="B6:C6"/>
    <mergeCell ref="B10:C10"/>
    <mergeCell ref="B5:C5"/>
    <mergeCell ref="B7:C7"/>
    <mergeCell ref="B8:C8"/>
    <mergeCell ref="A3:A4"/>
    <mergeCell ref="D3:D4"/>
    <mergeCell ref="B3:C4"/>
    <mergeCell ref="B9:C9"/>
  </mergeCells>
  <phoneticPr fontId="0" type="noConversion"/>
  <printOptions horizontalCentered="1" gridLines="1"/>
  <pageMargins left="0.74803149606299213" right="0.55118110236220474" top="0.74803149606299213" bottom="0.86614173228346458" header="0.15748031496062992" footer="0.51181102362204722"/>
  <pageSetup paperSize="9" scale="8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B425-12C8-470A-8F2D-3F8099319BA2}">
  <sheetPr>
    <pageSetUpPr fitToPage="1"/>
  </sheetPr>
  <dimension ref="A1:J63"/>
  <sheetViews>
    <sheetView topLeftCell="C1" zoomScale="90" zoomScaleNormal="90" zoomScaleSheetLayoutView="100" workbookViewId="0">
      <pane ySplit="3" topLeftCell="A4" activePane="bottomLeft" state="frozen"/>
      <selection pane="bottomLeft" activeCell="C1" sqref="C1:I1"/>
    </sheetView>
  </sheetViews>
  <sheetFormatPr defaultColWidth="9.140625" defaultRowHeight="15.75" x14ac:dyDescent="0.25"/>
  <cols>
    <col min="1" max="1" width="7" style="85" hidden="1" customWidth="1"/>
    <col min="2" max="2" width="7.7109375" style="86" hidden="1" customWidth="1"/>
    <col min="3" max="3" width="7.7109375" style="194" customWidth="1"/>
    <col min="4" max="4" width="62" style="238" customWidth="1"/>
    <col min="5" max="5" width="14.5703125" style="226" customWidth="1"/>
    <col min="6" max="6" width="12.140625" style="86" customWidth="1"/>
    <col min="7" max="7" width="15.7109375" style="85" customWidth="1"/>
    <col min="8" max="8" width="16.7109375" style="85" customWidth="1"/>
    <col min="9" max="9" width="19.7109375" style="85" customWidth="1"/>
    <col min="10" max="16384" width="9.140625" style="85"/>
  </cols>
  <sheetData>
    <row r="1" spans="1:10" ht="22.5" customHeight="1" x14ac:dyDescent="0.25">
      <c r="C1" s="283" t="s">
        <v>685</v>
      </c>
      <c r="D1" s="283"/>
      <c r="E1" s="283"/>
      <c r="F1" s="283"/>
      <c r="G1" s="283"/>
      <c r="H1" s="283"/>
      <c r="I1" s="283"/>
    </row>
    <row r="2" spans="1:10" ht="22.5" customHeight="1" x14ac:dyDescent="0.25">
      <c r="C2" s="283" t="s">
        <v>678</v>
      </c>
      <c r="D2" s="283"/>
      <c r="E2" s="283"/>
      <c r="F2" s="283"/>
      <c r="G2" s="283"/>
      <c r="H2" s="283"/>
      <c r="I2" s="283"/>
    </row>
    <row r="3" spans="1:10" ht="31.5" x14ac:dyDescent="0.25">
      <c r="A3" s="87" t="s">
        <v>72</v>
      </c>
      <c r="B3" s="241"/>
      <c r="C3" s="195" t="s">
        <v>659</v>
      </c>
      <c r="D3" s="227" t="s">
        <v>46</v>
      </c>
      <c r="E3" s="88" t="s">
        <v>73</v>
      </c>
      <c r="F3" s="88" t="s">
        <v>74</v>
      </c>
      <c r="G3" s="87" t="s">
        <v>247</v>
      </c>
      <c r="H3" s="89" t="s">
        <v>248</v>
      </c>
      <c r="I3" s="193" t="s">
        <v>660</v>
      </c>
      <c r="J3" s="103"/>
    </row>
    <row r="4" spans="1:10" x14ac:dyDescent="0.25">
      <c r="A4" s="87"/>
      <c r="B4" s="241"/>
      <c r="C4" s="195"/>
      <c r="D4" s="227"/>
      <c r="E4" s="88"/>
      <c r="F4" s="88"/>
      <c r="G4" s="90"/>
      <c r="H4" s="90"/>
      <c r="I4" s="90"/>
    </row>
    <row r="5" spans="1:10" x14ac:dyDescent="0.25">
      <c r="A5" s="87">
        <v>750</v>
      </c>
      <c r="B5" s="242" t="s">
        <v>2</v>
      </c>
      <c r="C5" s="196">
        <v>1</v>
      </c>
      <c r="D5" s="227" t="s">
        <v>18</v>
      </c>
      <c r="E5" s="98"/>
      <c r="F5" s="98"/>
      <c r="G5" s="90"/>
      <c r="H5" s="90"/>
      <c r="I5" s="91">
        <f>SUM(H6:H6)/100000</f>
        <v>40</v>
      </c>
    </row>
    <row r="6" spans="1:10" x14ac:dyDescent="0.25">
      <c r="A6" s="87"/>
      <c r="B6" s="243" t="s">
        <v>5</v>
      </c>
      <c r="C6" s="195"/>
      <c r="D6" s="70" t="s">
        <v>539</v>
      </c>
      <c r="E6" s="97">
        <v>10000</v>
      </c>
      <c r="F6" s="97" t="s">
        <v>21</v>
      </c>
      <c r="G6" s="92">
        <v>400</v>
      </c>
      <c r="H6" s="92">
        <f>+G6*E6</f>
        <v>4000000</v>
      </c>
      <c r="I6" s="93"/>
    </row>
    <row r="7" spans="1:10" s="96" customFormat="1" x14ac:dyDescent="0.2">
      <c r="A7" s="94"/>
      <c r="B7" s="244"/>
      <c r="C7" s="197"/>
      <c r="D7" s="228"/>
      <c r="E7" s="97"/>
      <c r="F7" s="97"/>
      <c r="G7" s="92"/>
      <c r="H7" s="92"/>
      <c r="I7" s="95"/>
    </row>
    <row r="8" spans="1:10" x14ac:dyDescent="0.25">
      <c r="A8" s="87">
        <v>751</v>
      </c>
      <c r="B8" s="242" t="s">
        <v>2</v>
      </c>
      <c r="C8" s="196">
        <v>2</v>
      </c>
      <c r="D8" s="227" t="s">
        <v>20</v>
      </c>
      <c r="E8" s="98"/>
      <c r="F8" s="98"/>
      <c r="G8" s="90"/>
      <c r="H8" s="90"/>
      <c r="I8" s="91">
        <f>SUM(H9:H15)/100000</f>
        <v>7578.5</v>
      </c>
    </row>
    <row r="9" spans="1:10" ht="31.5" x14ac:dyDescent="0.25">
      <c r="A9" s="90"/>
      <c r="B9" s="245"/>
      <c r="C9" s="198"/>
      <c r="D9" s="70" t="s">
        <v>560</v>
      </c>
      <c r="E9" s="239">
        <v>10600</v>
      </c>
      <c r="F9" s="97" t="s">
        <v>21</v>
      </c>
      <c r="G9" s="95">
        <v>39000</v>
      </c>
      <c r="H9" s="92">
        <f>+G9*E9</f>
        <v>413400000</v>
      </c>
      <c r="I9" s="93"/>
    </row>
    <row r="10" spans="1:10" x14ac:dyDescent="0.25">
      <c r="A10" s="90"/>
      <c r="B10" s="245"/>
      <c r="C10" s="198"/>
      <c r="D10" s="229" t="s">
        <v>591</v>
      </c>
      <c r="E10" s="239">
        <v>7000</v>
      </c>
      <c r="F10" s="97" t="s">
        <v>21</v>
      </c>
      <c r="G10" s="95">
        <v>39000</v>
      </c>
      <c r="H10" s="92">
        <f>+G10*E10</f>
        <v>273000000</v>
      </c>
      <c r="I10" s="93"/>
    </row>
    <row r="11" spans="1:10" ht="31.5" x14ac:dyDescent="0.25">
      <c r="A11" s="90"/>
      <c r="B11" s="246"/>
      <c r="C11" s="199"/>
      <c r="D11" s="229" t="s">
        <v>540</v>
      </c>
      <c r="E11" s="97">
        <v>300</v>
      </c>
      <c r="F11" s="97" t="s">
        <v>21</v>
      </c>
      <c r="G11" s="95">
        <v>39000</v>
      </c>
      <c r="H11" s="92">
        <f>+G11*E11</f>
        <v>11700000</v>
      </c>
      <c r="I11" s="99"/>
    </row>
    <row r="12" spans="1:10" s="100" customFormat="1" ht="47.25" x14ac:dyDescent="0.25">
      <c r="A12" s="90"/>
      <c r="B12" s="245"/>
      <c r="C12" s="198"/>
      <c r="D12" s="70" t="s">
        <v>541</v>
      </c>
      <c r="E12" s="239">
        <v>200</v>
      </c>
      <c r="F12" s="97" t="s">
        <v>21</v>
      </c>
      <c r="G12" s="95">
        <v>35000</v>
      </c>
      <c r="H12" s="92">
        <f>+G12*E12</f>
        <v>7000000</v>
      </c>
      <c r="I12" s="99"/>
    </row>
    <row r="13" spans="1:10" s="100" customFormat="1" x14ac:dyDescent="0.25">
      <c r="A13" s="90"/>
      <c r="B13" s="245"/>
      <c r="C13" s="198"/>
      <c r="D13" s="70" t="s">
        <v>609</v>
      </c>
      <c r="E13" s="239">
        <v>1500</v>
      </c>
      <c r="F13" s="97" t="s">
        <v>21</v>
      </c>
      <c r="G13" s="95">
        <v>20000</v>
      </c>
      <c r="H13" s="92">
        <f t="shared" ref="H13:H14" si="0">+G13*E13</f>
        <v>30000000</v>
      </c>
      <c r="I13" s="99"/>
    </row>
    <row r="14" spans="1:10" s="100" customFormat="1" x14ac:dyDescent="0.25">
      <c r="A14" s="90"/>
      <c r="B14" s="245"/>
      <c r="C14" s="198"/>
      <c r="D14" s="70" t="s">
        <v>610</v>
      </c>
      <c r="E14" s="239">
        <v>850</v>
      </c>
      <c r="F14" s="97" t="s">
        <v>21</v>
      </c>
      <c r="G14" s="95">
        <v>25000</v>
      </c>
      <c r="H14" s="92">
        <f t="shared" si="0"/>
        <v>21250000</v>
      </c>
      <c r="I14" s="99"/>
    </row>
    <row r="15" spans="1:10" s="100" customFormat="1" x14ac:dyDescent="0.25">
      <c r="A15" s="90"/>
      <c r="B15" s="245"/>
      <c r="C15" s="198"/>
      <c r="D15" s="230" t="s">
        <v>435</v>
      </c>
      <c r="E15" s="239">
        <v>100</v>
      </c>
      <c r="F15" s="97" t="s">
        <v>21</v>
      </c>
      <c r="G15" s="95">
        <v>15000</v>
      </c>
      <c r="H15" s="92">
        <f>+G15*E15</f>
        <v>1500000</v>
      </c>
      <c r="I15" s="99"/>
    </row>
    <row r="16" spans="1:10" x14ac:dyDescent="0.25">
      <c r="A16" s="90"/>
      <c r="B16" s="246"/>
      <c r="C16" s="199"/>
      <c r="D16" s="231"/>
      <c r="E16" s="98"/>
      <c r="F16" s="98"/>
      <c r="G16" s="90"/>
      <c r="H16" s="90"/>
      <c r="I16" s="93"/>
    </row>
    <row r="17" spans="1:9" s="103" customFormat="1" x14ac:dyDescent="0.25">
      <c r="A17" s="87">
        <v>753</v>
      </c>
      <c r="B17" s="242" t="s">
        <v>2</v>
      </c>
      <c r="C17" s="196">
        <v>3</v>
      </c>
      <c r="D17" s="227" t="s">
        <v>24</v>
      </c>
      <c r="E17" s="98"/>
      <c r="F17" s="98"/>
      <c r="G17" s="90"/>
      <c r="H17" s="101"/>
      <c r="I17" s="102">
        <f>SUM(H18:H22)/100000</f>
        <v>308.39999999999998</v>
      </c>
    </row>
    <row r="18" spans="1:9" s="103" customFormat="1" x14ac:dyDescent="0.25">
      <c r="A18" s="90"/>
      <c r="B18" s="241" t="s">
        <v>5</v>
      </c>
      <c r="C18" s="195"/>
      <c r="D18" s="232" t="s">
        <v>576</v>
      </c>
      <c r="E18" s="32">
        <v>300</v>
      </c>
      <c r="F18" s="32" t="s">
        <v>23</v>
      </c>
      <c r="G18" s="95">
        <v>32000</v>
      </c>
      <c r="H18" s="90">
        <f t="shared" ref="H18:H22" si="1">+G18*E18</f>
        <v>9600000</v>
      </c>
      <c r="I18" s="90"/>
    </row>
    <row r="19" spans="1:9" s="103" customFormat="1" x14ac:dyDescent="0.25">
      <c r="A19" s="90"/>
      <c r="B19" s="241" t="s">
        <v>5</v>
      </c>
      <c r="C19" s="195"/>
      <c r="D19" s="232" t="s">
        <v>577</v>
      </c>
      <c r="E19" s="32">
        <v>350</v>
      </c>
      <c r="F19" s="32" t="s">
        <v>23</v>
      </c>
      <c r="G19" s="95">
        <v>32000</v>
      </c>
      <c r="H19" s="90">
        <f t="shared" ref="H19" si="2">+G19*E19</f>
        <v>11200000</v>
      </c>
      <c r="I19" s="90"/>
    </row>
    <row r="20" spans="1:9" s="103" customFormat="1" x14ac:dyDescent="0.25">
      <c r="A20" s="90"/>
      <c r="B20" s="241" t="s">
        <v>5</v>
      </c>
      <c r="C20" s="195"/>
      <c r="D20" s="232" t="s">
        <v>286</v>
      </c>
      <c r="E20" s="32">
        <v>200</v>
      </c>
      <c r="F20" s="32" t="s">
        <v>23</v>
      </c>
      <c r="G20" s="95">
        <v>32000</v>
      </c>
      <c r="H20" s="90">
        <f t="shared" si="1"/>
        <v>6400000</v>
      </c>
      <c r="I20" s="90"/>
    </row>
    <row r="21" spans="1:9" s="103" customFormat="1" x14ac:dyDescent="0.25">
      <c r="A21" s="90"/>
      <c r="B21" s="241" t="s">
        <v>5</v>
      </c>
      <c r="C21" s="195"/>
      <c r="D21" s="232" t="s">
        <v>542</v>
      </c>
      <c r="E21" s="32">
        <v>20</v>
      </c>
      <c r="F21" s="32" t="s">
        <v>23</v>
      </c>
      <c r="G21" s="95">
        <v>32000</v>
      </c>
      <c r="H21" s="90">
        <f t="shared" si="1"/>
        <v>640000</v>
      </c>
      <c r="I21" s="90"/>
    </row>
    <row r="22" spans="1:9" s="103" customFormat="1" x14ac:dyDescent="0.25">
      <c r="A22" s="90"/>
      <c r="B22" s="241" t="s">
        <v>5</v>
      </c>
      <c r="C22" s="195"/>
      <c r="D22" s="232" t="s">
        <v>288</v>
      </c>
      <c r="E22" s="32">
        <v>300</v>
      </c>
      <c r="F22" s="32" t="s">
        <v>23</v>
      </c>
      <c r="G22" s="95">
        <v>10000</v>
      </c>
      <c r="H22" s="90">
        <f t="shared" si="1"/>
        <v>3000000</v>
      </c>
      <c r="I22" s="90"/>
    </row>
    <row r="23" spans="1:9" s="103" customFormat="1" x14ac:dyDescent="0.25">
      <c r="A23" s="90"/>
      <c r="B23" s="246"/>
      <c r="C23" s="199"/>
      <c r="D23" s="233"/>
      <c r="E23" s="98"/>
      <c r="F23" s="98"/>
      <c r="G23" s="90"/>
      <c r="H23" s="90"/>
      <c r="I23" s="90"/>
    </row>
    <row r="24" spans="1:9" s="103" customFormat="1" x14ac:dyDescent="0.25">
      <c r="A24" s="87">
        <v>754</v>
      </c>
      <c r="B24" s="242" t="s">
        <v>2</v>
      </c>
      <c r="C24" s="196">
        <v>4</v>
      </c>
      <c r="D24" s="227" t="s">
        <v>25</v>
      </c>
      <c r="E24" s="98"/>
      <c r="F24" s="98"/>
      <c r="G24" s="90"/>
      <c r="H24" s="90"/>
      <c r="I24" s="87">
        <f>+H25/100000</f>
        <v>369</v>
      </c>
    </row>
    <row r="25" spans="1:9" s="103" customFormat="1" x14ac:dyDescent="0.25">
      <c r="A25" s="90"/>
      <c r="B25" s="241" t="s">
        <v>5</v>
      </c>
      <c r="C25" s="195"/>
      <c r="D25" s="234" t="s">
        <v>207</v>
      </c>
      <c r="E25" s="98">
        <v>1800</v>
      </c>
      <c r="F25" s="98" t="s">
        <v>383</v>
      </c>
      <c r="G25" s="90">
        <v>20500</v>
      </c>
      <c r="H25" s="90">
        <f>E25*G25</f>
        <v>36900000</v>
      </c>
      <c r="I25" s="87"/>
    </row>
    <row r="26" spans="1:9" s="103" customFormat="1" hidden="1" x14ac:dyDescent="0.25">
      <c r="A26" s="90"/>
      <c r="B26" s="246"/>
      <c r="C26" s="199"/>
      <c r="D26" s="233"/>
      <c r="E26" s="98"/>
      <c r="F26" s="98"/>
      <c r="G26" s="90"/>
      <c r="H26" s="90"/>
      <c r="I26" s="90"/>
    </row>
    <row r="27" spans="1:9" s="103" customFormat="1" hidden="1" x14ac:dyDescent="0.25">
      <c r="A27" s="87">
        <v>764</v>
      </c>
      <c r="B27" s="242" t="s">
        <v>4</v>
      </c>
      <c r="C27" s="196"/>
      <c r="D27" s="227" t="s">
        <v>135</v>
      </c>
      <c r="E27" s="98"/>
      <c r="F27" s="98"/>
      <c r="G27" s="90"/>
      <c r="H27" s="90"/>
      <c r="I27" s="90"/>
    </row>
    <row r="28" spans="1:9" s="103" customFormat="1" hidden="1" x14ac:dyDescent="0.25">
      <c r="A28" s="90"/>
      <c r="B28" s="247" t="s">
        <v>2</v>
      </c>
      <c r="C28" s="200"/>
      <c r="D28" s="235" t="s">
        <v>37</v>
      </c>
      <c r="E28" s="98"/>
      <c r="F28" s="98"/>
      <c r="G28" s="90"/>
      <c r="H28" s="90"/>
      <c r="I28" s="87">
        <f>SUM(H29:H31)/100000</f>
        <v>0</v>
      </c>
    </row>
    <row r="29" spans="1:9" s="103" customFormat="1" hidden="1" x14ac:dyDescent="0.25">
      <c r="A29" s="90"/>
      <c r="B29" s="241" t="s">
        <v>5</v>
      </c>
      <c r="C29" s="195"/>
      <c r="D29" s="233" t="s">
        <v>136</v>
      </c>
      <c r="E29" s="98">
        <v>1</v>
      </c>
      <c r="F29" s="98" t="s">
        <v>133</v>
      </c>
      <c r="G29" s="90">
        <v>0</v>
      </c>
      <c r="H29" s="90">
        <f>+G29*E29</f>
        <v>0</v>
      </c>
      <c r="I29" s="87"/>
    </row>
    <row r="30" spans="1:9" s="103" customFormat="1" hidden="1" x14ac:dyDescent="0.25">
      <c r="A30" s="90"/>
      <c r="B30" s="241" t="s">
        <v>5</v>
      </c>
      <c r="C30" s="195"/>
      <c r="D30" s="233" t="s">
        <v>269</v>
      </c>
      <c r="E30" s="98">
        <v>1</v>
      </c>
      <c r="F30" s="98" t="s">
        <v>133</v>
      </c>
      <c r="G30" s="90">
        <v>0</v>
      </c>
      <c r="H30" s="90">
        <f>+G30*E30</f>
        <v>0</v>
      </c>
      <c r="I30" s="90"/>
    </row>
    <row r="31" spans="1:9" hidden="1" x14ac:dyDescent="0.25">
      <c r="A31" s="90"/>
      <c r="B31" s="241" t="s">
        <v>5</v>
      </c>
      <c r="C31" s="195"/>
      <c r="D31" s="233" t="s">
        <v>0</v>
      </c>
      <c r="E31" s="98">
        <v>1</v>
      </c>
      <c r="F31" s="98" t="s">
        <v>133</v>
      </c>
      <c r="G31" s="90">
        <v>0</v>
      </c>
      <c r="H31" s="90">
        <f>+G31*E31</f>
        <v>0</v>
      </c>
      <c r="I31" s="90"/>
    </row>
    <row r="32" spans="1:9" hidden="1" x14ac:dyDescent="0.25">
      <c r="A32" s="90"/>
      <c r="B32" s="241"/>
      <c r="C32" s="195"/>
      <c r="D32" s="233"/>
      <c r="E32" s="98"/>
      <c r="F32" s="98"/>
      <c r="G32" s="90"/>
      <c r="H32" s="90"/>
      <c r="I32" s="90"/>
    </row>
    <row r="33" spans="1:9" hidden="1" x14ac:dyDescent="0.25">
      <c r="A33" s="87">
        <v>766</v>
      </c>
      <c r="B33" s="242" t="s">
        <v>4</v>
      </c>
      <c r="C33" s="196"/>
      <c r="D33" s="227" t="s">
        <v>62</v>
      </c>
      <c r="E33" s="98"/>
      <c r="F33" s="98"/>
      <c r="G33" s="90"/>
      <c r="H33" s="90"/>
      <c r="I33" s="90"/>
    </row>
    <row r="34" spans="1:9" hidden="1" x14ac:dyDescent="0.25">
      <c r="A34" s="87">
        <v>766</v>
      </c>
      <c r="B34" s="242" t="s">
        <v>2</v>
      </c>
      <c r="C34" s="196"/>
      <c r="D34" s="227" t="s">
        <v>62</v>
      </c>
      <c r="E34" s="98"/>
      <c r="F34" s="98"/>
      <c r="G34" s="90"/>
      <c r="H34" s="90"/>
      <c r="I34" s="87">
        <f>(SUM(H35:H37))/100000</f>
        <v>0</v>
      </c>
    </row>
    <row r="35" spans="1:9" s="96" customFormat="1" ht="31.5" hidden="1" x14ac:dyDescent="0.2">
      <c r="A35" s="92"/>
      <c r="B35" s="248" t="s">
        <v>5</v>
      </c>
      <c r="C35" s="197"/>
      <c r="D35" s="228" t="s">
        <v>436</v>
      </c>
      <c r="E35" s="97">
        <v>1</v>
      </c>
      <c r="F35" s="97" t="s">
        <v>133</v>
      </c>
      <c r="G35" s="95">
        <f>170000000</f>
        <v>170000000</v>
      </c>
      <c r="H35" s="92"/>
      <c r="I35" s="92"/>
    </row>
    <row r="36" spans="1:9" ht="31.5" hidden="1" x14ac:dyDescent="0.25">
      <c r="A36" s="90"/>
      <c r="B36" s="241" t="s">
        <v>5</v>
      </c>
      <c r="C36" s="195"/>
      <c r="D36" s="234" t="s">
        <v>437</v>
      </c>
      <c r="E36" s="98">
        <v>1</v>
      </c>
      <c r="F36" s="98" t="s">
        <v>133</v>
      </c>
      <c r="G36" s="93">
        <f>200000000*0.82</f>
        <v>164000000</v>
      </c>
      <c r="H36" s="90"/>
      <c r="I36" s="90"/>
    </row>
    <row r="37" spans="1:9" ht="47.25" hidden="1" x14ac:dyDescent="0.25">
      <c r="A37" s="90"/>
      <c r="B37" s="241"/>
      <c r="C37" s="195"/>
      <c r="D37" s="228" t="s">
        <v>438</v>
      </c>
      <c r="E37" s="98">
        <v>1</v>
      </c>
      <c r="F37" s="98" t="s">
        <v>133</v>
      </c>
      <c r="G37" s="93">
        <f>350000000*0.82</f>
        <v>287000000</v>
      </c>
      <c r="H37" s="90"/>
      <c r="I37" s="90"/>
    </row>
    <row r="38" spans="1:9" x14ac:dyDescent="0.25">
      <c r="A38" s="90"/>
      <c r="B38" s="241"/>
      <c r="C38" s="195"/>
      <c r="D38" s="228"/>
      <c r="E38" s="98"/>
      <c r="F38" s="98"/>
      <c r="G38" s="93"/>
      <c r="H38" s="90"/>
      <c r="I38" s="90"/>
    </row>
    <row r="39" spans="1:9" x14ac:dyDescent="0.25">
      <c r="A39" s="87">
        <v>768</v>
      </c>
      <c r="B39" s="242" t="s">
        <v>2</v>
      </c>
      <c r="C39" s="196">
        <v>5</v>
      </c>
      <c r="D39" s="227" t="s">
        <v>26</v>
      </c>
      <c r="E39" s="98"/>
      <c r="F39" s="98"/>
      <c r="G39" s="90"/>
      <c r="H39" s="90"/>
      <c r="I39" s="91">
        <f>SUM(H40:H42)/100000</f>
        <v>480</v>
      </c>
    </row>
    <row r="40" spans="1:9" hidden="1" x14ac:dyDescent="0.25">
      <c r="A40" s="90"/>
      <c r="B40" s="241" t="s">
        <v>5</v>
      </c>
      <c r="C40" s="195"/>
      <c r="D40" s="233" t="s">
        <v>27</v>
      </c>
      <c r="E40" s="98">
        <v>18000</v>
      </c>
      <c r="F40" s="98" t="s">
        <v>33</v>
      </c>
      <c r="G40" s="90">
        <f>4500*0.82</f>
        <v>3690</v>
      </c>
      <c r="H40" s="90"/>
      <c r="I40" s="87"/>
    </row>
    <row r="41" spans="1:9" s="100" customFormat="1" x14ac:dyDescent="0.25">
      <c r="A41" s="90"/>
      <c r="B41" s="241"/>
      <c r="C41" s="195"/>
      <c r="D41" s="233" t="s">
        <v>679</v>
      </c>
      <c r="E41" s="98">
        <v>12000</v>
      </c>
      <c r="F41" s="98" t="s">
        <v>33</v>
      </c>
      <c r="G41" s="90">
        <v>4000</v>
      </c>
      <c r="H41" s="90">
        <f>+G41*E41</f>
        <v>48000000</v>
      </c>
      <c r="I41" s="87"/>
    </row>
    <row r="42" spans="1:9" x14ac:dyDescent="0.25">
      <c r="A42" s="90"/>
      <c r="B42" s="246"/>
      <c r="C42" s="199"/>
      <c r="D42" s="233"/>
      <c r="E42" s="98"/>
      <c r="F42" s="98"/>
      <c r="G42" s="90"/>
      <c r="H42" s="90"/>
      <c r="I42" s="90"/>
    </row>
    <row r="43" spans="1:9" x14ac:dyDescent="0.25">
      <c r="A43" s="87">
        <v>769</v>
      </c>
      <c r="B43" s="242" t="s">
        <v>2</v>
      </c>
      <c r="C43" s="196">
        <v>6</v>
      </c>
      <c r="D43" s="227" t="s">
        <v>28</v>
      </c>
      <c r="E43" s="98"/>
      <c r="F43" s="98"/>
      <c r="G43" s="90"/>
      <c r="H43" s="90"/>
      <c r="I43" s="152">
        <f>SUM(H44:H45)/100000</f>
        <v>482.67450000000002</v>
      </c>
    </row>
    <row r="44" spans="1:9" x14ac:dyDescent="0.25">
      <c r="A44" s="90"/>
      <c r="B44" s="241" t="s">
        <v>5</v>
      </c>
      <c r="C44" s="195"/>
      <c r="D44" s="233" t="s">
        <v>204</v>
      </c>
      <c r="E44" s="98">
        <v>1</v>
      </c>
      <c r="F44" s="98" t="s">
        <v>133</v>
      </c>
      <c r="G44" s="23">
        <f>SUM(H6:H41)*0.05</f>
        <v>43879500</v>
      </c>
      <c r="H44" s="90">
        <f>+G44*E44</f>
        <v>43879500</v>
      </c>
      <c r="I44" s="90"/>
    </row>
    <row r="45" spans="1:9" x14ac:dyDescent="0.25">
      <c r="A45" s="90"/>
      <c r="B45" s="241" t="s">
        <v>5</v>
      </c>
      <c r="C45" s="195"/>
      <c r="D45" s="233" t="s">
        <v>203</v>
      </c>
      <c r="E45" s="98">
        <v>1</v>
      </c>
      <c r="F45" s="98" t="s">
        <v>133</v>
      </c>
      <c r="G45" s="23">
        <f>SUM(H6:H42)*0.005</f>
        <v>4387950</v>
      </c>
      <c r="H45" s="90">
        <f>+G45*E45</f>
        <v>4387950</v>
      </c>
      <c r="I45" s="90"/>
    </row>
    <row r="46" spans="1:9" x14ac:dyDescent="0.25">
      <c r="A46" s="90"/>
      <c r="B46" s="246"/>
      <c r="C46" s="199"/>
      <c r="D46" s="233"/>
      <c r="E46" s="98"/>
      <c r="F46" s="98"/>
      <c r="G46" s="90"/>
      <c r="H46" s="90"/>
      <c r="I46" s="87"/>
    </row>
    <row r="47" spans="1:9" x14ac:dyDescent="0.25">
      <c r="A47" s="87">
        <v>771</v>
      </c>
      <c r="B47" s="242" t="s">
        <v>2</v>
      </c>
      <c r="C47" s="196">
        <v>7</v>
      </c>
      <c r="D47" s="227" t="s">
        <v>252</v>
      </c>
      <c r="E47" s="98"/>
      <c r="F47" s="98"/>
      <c r="G47" s="90"/>
      <c r="H47" s="90"/>
      <c r="I47" s="91">
        <f>SUM(H48:H53)/100000</f>
        <v>632.92872499999999</v>
      </c>
    </row>
    <row r="48" spans="1:9" hidden="1" x14ac:dyDescent="0.25">
      <c r="A48" s="90"/>
      <c r="B48" s="241" t="s">
        <v>5</v>
      </c>
      <c r="C48" s="195"/>
      <c r="D48" s="233" t="s">
        <v>380</v>
      </c>
      <c r="E48" s="98">
        <v>1500</v>
      </c>
      <c r="F48" s="98" t="s">
        <v>35</v>
      </c>
      <c r="G48" s="90">
        <f>20000*0.82</f>
        <v>16400</v>
      </c>
      <c r="H48" s="90"/>
      <c r="I48" s="90"/>
    </row>
    <row r="49" spans="1:9" x14ac:dyDescent="0.25">
      <c r="A49" s="90"/>
      <c r="B49" s="241" t="s">
        <v>5</v>
      </c>
      <c r="C49" s="195"/>
      <c r="D49" s="232" t="s">
        <v>543</v>
      </c>
      <c r="E49" s="32">
        <v>600</v>
      </c>
      <c r="F49" s="32" t="s">
        <v>35</v>
      </c>
      <c r="G49" s="23">
        <v>20000</v>
      </c>
      <c r="H49" s="90">
        <f>+G49*E49</f>
        <v>12000000</v>
      </c>
      <c r="I49" s="90"/>
    </row>
    <row r="50" spans="1:9" x14ac:dyDescent="0.25">
      <c r="A50" s="90"/>
      <c r="B50" s="241" t="s">
        <v>5</v>
      </c>
      <c r="C50" s="195"/>
      <c r="D50" s="232" t="s">
        <v>544</v>
      </c>
      <c r="E50" s="32">
        <v>1</v>
      </c>
      <c r="F50" s="32" t="s">
        <v>133</v>
      </c>
      <c r="G50" s="23">
        <f>SUM(H6:H45)*0.015</f>
        <v>13887861.75</v>
      </c>
      <c r="H50" s="90">
        <f>+G50*E50</f>
        <v>13887861.75</v>
      </c>
      <c r="I50" s="90"/>
    </row>
    <row r="51" spans="1:9" x14ac:dyDescent="0.25">
      <c r="A51" s="90"/>
      <c r="B51" s="241"/>
      <c r="C51" s="195"/>
      <c r="D51" s="232" t="s">
        <v>545</v>
      </c>
      <c r="E51" s="32">
        <v>1</v>
      </c>
      <c r="F51" s="32" t="s">
        <v>133</v>
      </c>
      <c r="G51" s="23">
        <f>SUM(H6:H45)*0.015</f>
        <v>13887861.75</v>
      </c>
      <c r="H51" s="90">
        <f>+G51*E51</f>
        <v>13887861.75</v>
      </c>
      <c r="I51" s="90"/>
    </row>
    <row r="52" spans="1:9" x14ac:dyDescent="0.25">
      <c r="A52" s="104"/>
      <c r="B52" s="248" t="s">
        <v>5</v>
      </c>
      <c r="C52" s="197"/>
      <c r="D52" s="232" t="s">
        <v>382</v>
      </c>
      <c r="E52" s="32">
        <v>1</v>
      </c>
      <c r="F52" s="32" t="s">
        <v>133</v>
      </c>
      <c r="G52" s="23">
        <v>5000000</v>
      </c>
      <c r="H52" s="105">
        <f>+G52*E52</f>
        <v>5000000</v>
      </c>
      <c r="I52" s="90"/>
    </row>
    <row r="53" spans="1:9" x14ac:dyDescent="0.25">
      <c r="A53" s="90"/>
      <c r="B53" s="241" t="s">
        <v>5</v>
      </c>
      <c r="C53" s="195"/>
      <c r="D53" s="232" t="s">
        <v>236</v>
      </c>
      <c r="E53" s="32">
        <v>1</v>
      </c>
      <c r="F53" s="32" t="s">
        <v>133</v>
      </c>
      <c r="G53" s="23">
        <f>SUM(H6:H45)*0.02</f>
        <v>18517149</v>
      </c>
      <c r="H53" s="90">
        <f>+G53*E53</f>
        <v>18517149</v>
      </c>
      <c r="I53" s="90"/>
    </row>
    <row r="54" spans="1:9" x14ac:dyDescent="0.25">
      <c r="A54" s="90"/>
      <c r="B54" s="241"/>
      <c r="C54" s="195"/>
      <c r="D54" s="232"/>
      <c r="E54" s="32"/>
      <c r="F54" s="32"/>
      <c r="G54" s="90"/>
      <c r="H54" s="90"/>
      <c r="I54" s="90"/>
    </row>
    <row r="55" spans="1:9" x14ac:dyDescent="0.25">
      <c r="A55" s="34">
        <v>771</v>
      </c>
      <c r="B55" s="249" t="s">
        <v>2</v>
      </c>
      <c r="C55" s="201">
        <v>8</v>
      </c>
      <c r="D55" s="236" t="s">
        <v>546</v>
      </c>
      <c r="E55" s="32">
        <v>1</v>
      </c>
      <c r="F55" s="32" t="s">
        <v>133</v>
      </c>
      <c r="G55" s="23">
        <v>100000000</v>
      </c>
      <c r="H55" s="23">
        <f>G55</f>
        <v>100000000</v>
      </c>
      <c r="I55" s="34">
        <f>H55/100000</f>
        <v>1000</v>
      </c>
    </row>
    <row r="56" spans="1:9" x14ac:dyDescent="0.25">
      <c r="A56" s="90"/>
      <c r="B56" s="241"/>
      <c r="C56" s="195"/>
      <c r="D56" s="232"/>
      <c r="E56" s="32"/>
      <c r="F56" s="32"/>
      <c r="G56" s="90"/>
      <c r="H56" s="90"/>
      <c r="I56" s="90"/>
    </row>
    <row r="57" spans="1:9" x14ac:dyDescent="0.25">
      <c r="A57" s="87">
        <v>772</v>
      </c>
      <c r="B57" s="242" t="s">
        <v>2</v>
      </c>
      <c r="C57" s="196">
        <v>9</v>
      </c>
      <c r="D57" s="227" t="s">
        <v>29</v>
      </c>
      <c r="E57" s="98"/>
      <c r="F57" s="98"/>
      <c r="G57" s="90"/>
      <c r="H57" s="90"/>
      <c r="I57" s="90"/>
    </row>
    <row r="58" spans="1:9" s="96" customFormat="1" ht="33" customHeight="1" x14ac:dyDescent="0.2">
      <c r="A58" s="92"/>
      <c r="B58" s="248" t="s">
        <v>5</v>
      </c>
      <c r="C58" s="197"/>
      <c r="D58" s="228" t="s">
        <v>684</v>
      </c>
      <c r="E58" s="97">
        <v>1</v>
      </c>
      <c r="F58" s="97" t="s">
        <v>133</v>
      </c>
      <c r="G58" s="72">
        <f>H58</f>
        <v>32674509.674999997</v>
      </c>
      <c r="H58" s="72">
        <f>SUM(H6:H55)*0.03</f>
        <v>32674509.674999997</v>
      </c>
      <c r="I58" s="106">
        <f>H58/100000</f>
        <v>326.74509674999996</v>
      </c>
    </row>
    <row r="59" spans="1:9" x14ac:dyDescent="0.25">
      <c r="A59" s="87"/>
      <c r="B59" s="242"/>
      <c r="C59" s="196"/>
      <c r="D59" s="227"/>
      <c r="E59" s="98"/>
      <c r="F59" s="98"/>
      <c r="G59" s="90"/>
      <c r="H59" s="90"/>
      <c r="I59" s="90"/>
    </row>
    <row r="60" spans="1:9" s="103" customFormat="1" x14ac:dyDescent="0.25">
      <c r="A60" s="87">
        <v>774</v>
      </c>
      <c r="B60" s="242" t="s">
        <v>2</v>
      </c>
      <c r="C60" s="196">
        <v>10</v>
      </c>
      <c r="D60" s="227" t="s">
        <v>30</v>
      </c>
      <c r="E60" s="98"/>
      <c r="F60" s="98"/>
      <c r="G60" s="90"/>
      <c r="H60" s="90"/>
      <c r="I60" s="90"/>
    </row>
    <row r="61" spans="1:9" s="103" customFormat="1" x14ac:dyDescent="0.25">
      <c r="A61" s="90"/>
      <c r="B61" s="241" t="s">
        <v>5</v>
      </c>
      <c r="C61" s="195"/>
      <c r="D61" s="233" t="s">
        <v>580</v>
      </c>
      <c r="E61" s="98">
        <v>1</v>
      </c>
      <c r="F61" s="98"/>
      <c r="G61" s="90"/>
      <c r="H61" s="93">
        <f>+SUM(I5:I58)*100000*5%</f>
        <v>56091241.608750001</v>
      </c>
      <c r="I61" s="91">
        <f>H61/100000</f>
        <v>560.91241608749999</v>
      </c>
    </row>
    <row r="62" spans="1:9" s="103" customFormat="1" x14ac:dyDescent="0.25">
      <c r="A62" s="90"/>
      <c r="B62" s="246"/>
      <c r="C62" s="199"/>
      <c r="D62" s="233" t="s">
        <v>439</v>
      </c>
      <c r="E62" s="98"/>
      <c r="F62" s="98"/>
      <c r="G62" s="90"/>
      <c r="H62" s="93">
        <f>SUM(H6:H61)*0.18</f>
        <v>212024893.281075</v>
      </c>
      <c r="I62" s="91">
        <f>H62/100000</f>
        <v>2120.2489328107499</v>
      </c>
    </row>
    <row r="63" spans="1:9" s="103" customFormat="1" x14ac:dyDescent="0.25">
      <c r="A63" s="90"/>
      <c r="B63" s="246"/>
      <c r="C63" s="199"/>
      <c r="D63" s="237" t="s">
        <v>658</v>
      </c>
      <c r="E63" s="240"/>
      <c r="F63" s="240"/>
      <c r="G63" s="224"/>
      <c r="H63" s="224"/>
      <c r="I63" s="225">
        <f>SUM(I5:I62)</f>
        <v>13899.409670648249</v>
      </c>
    </row>
  </sheetData>
  <mergeCells count="2">
    <mergeCell ref="C2:I2"/>
    <mergeCell ref="C1:I1"/>
  </mergeCells>
  <printOptions horizontalCentered="1" gridLines="1"/>
  <pageMargins left="0.19685039370078741" right="0.19685039370078741" top="0.55118110236220474" bottom="0.6692913385826772" header="0.43307086614173229" footer="0.51181102362204722"/>
  <pageSetup paperSize="9" scale="6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EE06-FA06-4E1D-AFE9-2ED0DE849877}">
  <dimension ref="A1:O411"/>
  <sheetViews>
    <sheetView view="pageBreakPreview" zoomScale="90" zoomScaleNormal="100" zoomScaleSheetLayoutView="90" workbookViewId="0">
      <pane xSplit="5" ySplit="3" topLeftCell="F4" activePane="bottomRight" state="frozenSplit"/>
      <selection pane="topRight" activeCell="E1" sqref="E1"/>
      <selection pane="bottomLeft" activeCell="A11" sqref="A11"/>
      <selection pane="bottomRight" sqref="A1:J1"/>
    </sheetView>
  </sheetViews>
  <sheetFormatPr defaultColWidth="9.140625" defaultRowHeight="15" x14ac:dyDescent="0.2"/>
  <cols>
    <col min="1" max="1" width="8.7109375" style="122" hidden="1" customWidth="1"/>
    <col min="2" max="2" width="5.42578125" style="122" hidden="1" customWidth="1"/>
    <col min="3" max="3" width="9.7109375" style="219" customWidth="1"/>
    <col min="4" max="4" width="64.140625" style="124" customWidth="1"/>
    <col min="5" max="5" width="18.5703125" style="122" customWidth="1"/>
    <col min="6" max="6" width="12.140625" style="122" customWidth="1"/>
    <col min="7" max="7" width="7.7109375" style="122" customWidth="1"/>
    <col min="8" max="8" width="19.7109375" style="122" customWidth="1"/>
    <col min="9" max="9" width="21.85546875" style="122" customWidth="1"/>
    <col min="10" max="10" width="14.85546875" style="122" customWidth="1"/>
    <col min="11" max="11" width="13.7109375" style="124" bestFit="1" customWidth="1"/>
    <col min="12" max="12" width="17.5703125" style="124" bestFit="1" customWidth="1"/>
    <col min="13" max="14" width="20.5703125" style="124" bestFit="1" customWidth="1"/>
    <col min="15" max="15" width="21.28515625" style="124" bestFit="1" customWidth="1"/>
    <col min="16" max="16384" width="9.140625" style="124"/>
  </cols>
  <sheetData>
    <row r="1" spans="1:15" ht="24.75" customHeight="1" x14ac:dyDescent="0.2">
      <c r="A1" s="284" t="s">
        <v>685</v>
      </c>
      <c r="B1" s="284"/>
      <c r="C1" s="284"/>
      <c r="D1" s="284"/>
      <c r="E1" s="284"/>
      <c r="F1" s="284"/>
      <c r="G1" s="284"/>
      <c r="H1" s="284"/>
      <c r="I1" s="284"/>
      <c r="J1" s="284"/>
    </row>
    <row r="2" spans="1:15" ht="24.75" customHeight="1" x14ac:dyDescent="0.2">
      <c r="A2" s="220"/>
      <c r="B2" s="220"/>
      <c r="C2" s="290" t="s">
        <v>677</v>
      </c>
      <c r="D2" s="291"/>
      <c r="E2" s="291"/>
      <c r="F2" s="291"/>
      <c r="G2" s="291"/>
      <c r="H2" s="291"/>
      <c r="I2" s="291"/>
      <c r="J2" s="292"/>
    </row>
    <row r="3" spans="1:15" ht="33" customHeight="1" x14ac:dyDescent="0.2">
      <c r="A3" s="135" t="s">
        <v>246</v>
      </c>
      <c r="B3" s="135"/>
      <c r="C3" s="202" t="s">
        <v>659</v>
      </c>
      <c r="D3" s="190" t="s">
        <v>46</v>
      </c>
      <c r="E3" s="190" t="s">
        <v>148</v>
      </c>
      <c r="F3" s="190" t="s">
        <v>311</v>
      </c>
      <c r="G3" s="190" t="s">
        <v>405</v>
      </c>
      <c r="H3" s="190" t="s">
        <v>312</v>
      </c>
      <c r="I3" s="190" t="s">
        <v>313</v>
      </c>
      <c r="J3" s="190" t="s">
        <v>660</v>
      </c>
    </row>
    <row r="4" spans="1:15" ht="30" x14ac:dyDescent="0.2">
      <c r="A4" s="161" t="s">
        <v>141</v>
      </c>
      <c r="B4" s="161"/>
      <c r="C4" s="202" t="s">
        <v>661</v>
      </c>
      <c r="D4" s="161" t="s">
        <v>1</v>
      </c>
      <c r="E4" s="160"/>
      <c r="F4" s="160"/>
      <c r="G4" s="162"/>
      <c r="H4" s="162"/>
      <c r="I4" s="162"/>
      <c r="J4" s="162"/>
    </row>
    <row r="5" spans="1:15" x14ac:dyDescent="0.25">
      <c r="A5" s="135">
        <v>775</v>
      </c>
      <c r="B5" s="163" t="s">
        <v>2</v>
      </c>
      <c r="C5" s="215">
        <v>1</v>
      </c>
      <c r="D5" s="161" t="s">
        <v>7</v>
      </c>
      <c r="E5" s="160"/>
      <c r="F5" s="140"/>
      <c r="G5" s="125"/>
      <c r="H5" s="125"/>
      <c r="I5" s="125"/>
      <c r="J5" s="164">
        <f>SUM(I6:I15)/100000</f>
        <v>158.40072000000001</v>
      </c>
      <c r="M5" s="136"/>
      <c r="N5" s="136"/>
      <c r="O5" s="136"/>
    </row>
    <row r="6" spans="1:15" ht="45" x14ac:dyDescent="0.25">
      <c r="A6" s="140"/>
      <c r="B6" s="134"/>
      <c r="C6" s="216"/>
      <c r="D6" s="113" t="s">
        <v>523</v>
      </c>
      <c r="E6" s="110" t="s">
        <v>464</v>
      </c>
      <c r="F6" s="114">
        <v>24</v>
      </c>
      <c r="G6" s="114" t="s">
        <v>463</v>
      </c>
      <c r="H6" s="111">
        <v>5830</v>
      </c>
      <c r="I6" s="165">
        <f t="shared" ref="I6:I14" si="0">+H6*F6</f>
        <v>139920</v>
      </c>
      <c r="J6" s="137"/>
      <c r="M6" s="136"/>
      <c r="N6" s="136"/>
      <c r="O6" s="136"/>
    </row>
    <row r="7" spans="1:15" ht="45" x14ac:dyDescent="0.25">
      <c r="A7" s="140"/>
      <c r="B7" s="134"/>
      <c r="C7" s="216"/>
      <c r="D7" s="166" t="s">
        <v>524</v>
      </c>
      <c r="E7" s="110" t="s">
        <v>465</v>
      </c>
      <c r="F7" s="114">
        <v>32</v>
      </c>
      <c r="G7" s="114" t="s">
        <v>463</v>
      </c>
      <c r="H7" s="111">
        <v>5088</v>
      </c>
      <c r="I7" s="165">
        <f t="shared" si="0"/>
        <v>162816</v>
      </c>
      <c r="J7" s="137"/>
      <c r="M7" s="136"/>
      <c r="N7" s="136"/>
      <c r="O7" s="136"/>
    </row>
    <row r="8" spans="1:15" ht="30" x14ac:dyDescent="0.25">
      <c r="A8" s="140"/>
      <c r="B8" s="134"/>
      <c r="C8" s="216"/>
      <c r="D8" s="112" t="s">
        <v>475</v>
      </c>
      <c r="E8" s="110" t="s">
        <v>466</v>
      </c>
      <c r="F8" s="110">
        <v>2</v>
      </c>
      <c r="G8" s="110" t="s">
        <v>375</v>
      </c>
      <c r="H8" s="111">
        <v>121900</v>
      </c>
      <c r="I8" s="165">
        <f t="shared" si="0"/>
        <v>243800</v>
      </c>
      <c r="J8" s="137"/>
      <c r="M8" s="136"/>
      <c r="N8" s="136"/>
      <c r="O8" s="136"/>
    </row>
    <row r="9" spans="1:15" x14ac:dyDescent="0.25">
      <c r="A9" s="140"/>
      <c r="B9" s="134"/>
      <c r="C9" s="216"/>
      <c r="D9" s="112" t="s">
        <v>476</v>
      </c>
      <c r="E9" s="110" t="s">
        <v>433</v>
      </c>
      <c r="F9" s="110">
        <v>2</v>
      </c>
      <c r="G9" s="110" t="s">
        <v>375</v>
      </c>
      <c r="H9" s="111">
        <v>150000</v>
      </c>
      <c r="I9" s="165">
        <f t="shared" si="0"/>
        <v>300000</v>
      </c>
      <c r="J9" s="137"/>
      <c r="M9" s="136"/>
      <c r="N9" s="136"/>
      <c r="O9" s="136"/>
    </row>
    <row r="10" spans="1:15" x14ac:dyDescent="0.25">
      <c r="A10" s="140"/>
      <c r="B10" s="134"/>
      <c r="C10" s="216"/>
      <c r="D10" s="112" t="s">
        <v>412</v>
      </c>
      <c r="E10" s="110" t="s">
        <v>152</v>
      </c>
      <c r="F10" s="110">
        <v>2</v>
      </c>
      <c r="G10" s="110" t="s">
        <v>283</v>
      </c>
      <c r="H10" s="111">
        <v>175000</v>
      </c>
      <c r="I10" s="165">
        <f t="shared" si="0"/>
        <v>350000</v>
      </c>
      <c r="J10" s="137"/>
      <c r="M10" s="136"/>
      <c r="N10" s="136"/>
      <c r="O10" s="136"/>
    </row>
    <row r="11" spans="1:15" x14ac:dyDescent="0.25">
      <c r="A11" s="140"/>
      <c r="B11" s="134"/>
      <c r="C11" s="216"/>
      <c r="D11" s="112" t="s">
        <v>310</v>
      </c>
      <c r="E11" s="110" t="s">
        <v>152</v>
      </c>
      <c r="F11" s="110">
        <v>2</v>
      </c>
      <c r="G11" s="110" t="s">
        <v>375</v>
      </c>
      <c r="H11" s="111">
        <v>311768</v>
      </c>
      <c r="I11" s="165">
        <f t="shared" si="0"/>
        <v>623536</v>
      </c>
      <c r="J11" s="137"/>
      <c r="M11" s="136"/>
      <c r="N11" s="136"/>
      <c r="O11" s="136"/>
    </row>
    <row r="12" spans="1:15" x14ac:dyDescent="0.25">
      <c r="A12" s="140"/>
      <c r="B12" s="134"/>
      <c r="C12" s="216"/>
      <c r="D12" s="113" t="s">
        <v>477</v>
      </c>
      <c r="E12" s="114" t="s">
        <v>443</v>
      </c>
      <c r="F12" s="114">
        <v>3</v>
      </c>
      <c r="G12" s="114" t="s">
        <v>375</v>
      </c>
      <c r="H12" s="115">
        <v>4500000</v>
      </c>
      <c r="I12" s="165">
        <f t="shared" si="0"/>
        <v>13500000</v>
      </c>
      <c r="J12" s="137"/>
      <c r="M12" s="136"/>
      <c r="N12" s="136"/>
      <c r="O12" s="136"/>
    </row>
    <row r="13" spans="1:15" ht="30" x14ac:dyDescent="0.25">
      <c r="A13" s="140"/>
      <c r="B13" s="134"/>
      <c r="C13" s="216"/>
      <c r="D13" s="112" t="s">
        <v>478</v>
      </c>
      <c r="E13" s="110" t="s">
        <v>467</v>
      </c>
      <c r="F13" s="110">
        <v>1</v>
      </c>
      <c r="G13" s="110" t="s">
        <v>255</v>
      </c>
      <c r="H13" s="111">
        <v>130000</v>
      </c>
      <c r="I13" s="165">
        <f t="shared" si="0"/>
        <v>130000</v>
      </c>
      <c r="J13" s="137"/>
      <c r="M13" s="136"/>
      <c r="N13" s="136"/>
      <c r="O13" s="136"/>
    </row>
    <row r="14" spans="1:15" x14ac:dyDescent="0.25">
      <c r="A14" s="140"/>
      <c r="B14" s="134"/>
      <c r="C14" s="216"/>
      <c r="D14" s="112" t="s">
        <v>453</v>
      </c>
      <c r="E14" s="110" t="s">
        <v>149</v>
      </c>
      <c r="F14" s="114">
        <v>2</v>
      </c>
      <c r="G14" s="110" t="s">
        <v>375</v>
      </c>
      <c r="H14" s="111">
        <v>130000</v>
      </c>
      <c r="I14" s="165">
        <f t="shared" si="0"/>
        <v>260000</v>
      </c>
      <c r="J14" s="137"/>
      <c r="M14" s="136"/>
      <c r="N14" s="136"/>
      <c r="O14" s="136"/>
    </row>
    <row r="15" spans="1:15" x14ac:dyDescent="0.25">
      <c r="A15" s="140"/>
      <c r="B15" s="134"/>
      <c r="C15" s="216"/>
      <c r="D15" s="112" t="s">
        <v>454</v>
      </c>
      <c r="E15" s="110" t="s">
        <v>149</v>
      </c>
      <c r="F15" s="114">
        <v>1</v>
      </c>
      <c r="G15" s="110" t="s">
        <v>255</v>
      </c>
      <c r="H15" s="111">
        <v>130000</v>
      </c>
      <c r="I15" s="165">
        <f>+H15*F15</f>
        <v>130000</v>
      </c>
      <c r="J15" s="137"/>
      <c r="M15" s="136"/>
      <c r="N15" s="136"/>
      <c r="O15" s="136"/>
    </row>
    <row r="16" spans="1:15" x14ac:dyDescent="0.25">
      <c r="A16" s="140"/>
      <c r="B16" s="134"/>
      <c r="C16" s="216"/>
      <c r="D16" s="125"/>
      <c r="E16" s="140"/>
      <c r="F16" s="140"/>
      <c r="G16" s="125"/>
      <c r="H16" s="125"/>
      <c r="I16" s="165"/>
      <c r="J16" s="137"/>
      <c r="M16" s="136"/>
      <c r="N16" s="136"/>
      <c r="O16" s="136"/>
    </row>
    <row r="17" spans="1:15" ht="30" x14ac:dyDescent="0.2">
      <c r="A17" s="160">
        <v>776</v>
      </c>
      <c r="B17" s="167" t="s">
        <v>2</v>
      </c>
      <c r="C17" s="203">
        <v>2</v>
      </c>
      <c r="D17" s="161" t="s">
        <v>6</v>
      </c>
      <c r="E17" s="160"/>
      <c r="F17" s="140"/>
      <c r="G17" s="162"/>
      <c r="H17" s="140"/>
      <c r="I17" s="165"/>
      <c r="J17" s="168">
        <f>SUM(I18:I50)/100000</f>
        <v>1169.4958251999999</v>
      </c>
      <c r="M17" s="136"/>
      <c r="N17" s="136"/>
      <c r="O17" s="136"/>
    </row>
    <row r="18" spans="1:15" ht="30" x14ac:dyDescent="0.2">
      <c r="A18" s="140"/>
      <c r="B18" s="151"/>
      <c r="C18" s="202"/>
      <c r="D18" s="112" t="s">
        <v>413</v>
      </c>
      <c r="E18" s="110" t="s">
        <v>151</v>
      </c>
      <c r="F18" s="110">
        <v>2</v>
      </c>
      <c r="G18" s="110" t="s">
        <v>375</v>
      </c>
      <c r="H18" s="111">
        <v>130000</v>
      </c>
      <c r="I18" s="165">
        <f>+H18*F18</f>
        <v>260000</v>
      </c>
      <c r="J18" s="137"/>
      <c r="M18" s="136"/>
      <c r="N18" s="136"/>
      <c r="O18" s="136"/>
    </row>
    <row r="19" spans="1:15" ht="30" x14ac:dyDescent="0.2">
      <c r="A19" s="140"/>
      <c r="B19" s="151"/>
      <c r="C19" s="202"/>
      <c r="D19" s="116" t="s">
        <v>479</v>
      </c>
      <c r="E19" s="110" t="s">
        <v>151</v>
      </c>
      <c r="F19" s="110">
        <v>2</v>
      </c>
      <c r="G19" s="110" t="s">
        <v>375</v>
      </c>
      <c r="H19" s="111">
        <v>109604</v>
      </c>
      <c r="I19" s="165">
        <f t="shared" ref="I19:I45" si="1">+H19*F19</f>
        <v>219208</v>
      </c>
      <c r="J19" s="137"/>
      <c r="M19" s="136"/>
      <c r="N19" s="136"/>
      <c r="O19" s="136"/>
    </row>
    <row r="20" spans="1:15" x14ac:dyDescent="0.2">
      <c r="A20" s="140"/>
      <c r="B20" s="151"/>
      <c r="C20" s="202"/>
      <c r="D20" s="112" t="s">
        <v>480</v>
      </c>
      <c r="E20" s="110" t="s">
        <v>151</v>
      </c>
      <c r="F20" s="110">
        <v>2</v>
      </c>
      <c r="G20" s="110" t="s">
        <v>375</v>
      </c>
      <c r="H20" s="111">
        <v>3500000</v>
      </c>
      <c r="I20" s="165">
        <f t="shared" ref="I20:I25" si="2">+H20*F20</f>
        <v>7000000</v>
      </c>
      <c r="J20" s="137"/>
      <c r="M20" s="136"/>
      <c r="N20" s="136"/>
      <c r="O20" s="136"/>
    </row>
    <row r="21" spans="1:15" ht="30" x14ac:dyDescent="0.2">
      <c r="A21" s="140"/>
      <c r="B21" s="151"/>
      <c r="C21" s="202"/>
      <c r="D21" s="112" t="s">
        <v>549</v>
      </c>
      <c r="E21" s="110" t="s">
        <v>149</v>
      </c>
      <c r="F21" s="110">
        <v>2</v>
      </c>
      <c r="G21" s="110" t="s">
        <v>375</v>
      </c>
      <c r="H21" s="111">
        <v>530000</v>
      </c>
      <c r="I21" s="165">
        <f t="shared" si="2"/>
        <v>1060000</v>
      </c>
      <c r="J21" s="137"/>
      <c r="M21" s="136"/>
      <c r="N21" s="136"/>
      <c r="O21" s="136"/>
    </row>
    <row r="22" spans="1:15" ht="30" x14ac:dyDescent="0.2">
      <c r="A22" s="140"/>
      <c r="B22" s="151"/>
      <c r="C22" s="202"/>
      <c r="D22" s="113" t="s">
        <v>481</v>
      </c>
      <c r="E22" s="114" t="s">
        <v>151</v>
      </c>
      <c r="F22" s="114">
        <v>2</v>
      </c>
      <c r="G22" s="114" t="s">
        <v>375</v>
      </c>
      <c r="H22" s="115">
        <v>30000000</v>
      </c>
      <c r="I22" s="165">
        <f t="shared" si="2"/>
        <v>60000000</v>
      </c>
      <c r="J22" s="137"/>
      <c r="M22" s="136"/>
      <c r="N22" s="136"/>
      <c r="O22" s="136"/>
    </row>
    <row r="23" spans="1:15" x14ac:dyDescent="0.2">
      <c r="A23" s="140"/>
      <c r="B23" s="151"/>
      <c r="C23" s="202"/>
      <c r="D23" s="112" t="s">
        <v>482</v>
      </c>
      <c r="E23" s="110" t="s">
        <v>149</v>
      </c>
      <c r="F23" s="110">
        <v>1</v>
      </c>
      <c r="G23" s="110" t="s">
        <v>283</v>
      </c>
      <c r="H23" s="115">
        <f>110000 + ((110000*0.03)*2)</f>
        <v>116600</v>
      </c>
      <c r="I23" s="165">
        <f t="shared" si="2"/>
        <v>116600</v>
      </c>
      <c r="J23" s="137"/>
      <c r="M23" s="136"/>
      <c r="N23" s="136"/>
      <c r="O23" s="136"/>
    </row>
    <row r="24" spans="1:15" x14ac:dyDescent="0.2">
      <c r="A24" s="140"/>
      <c r="B24" s="151"/>
      <c r="C24" s="202"/>
      <c r="D24" s="113" t="s">
        <v>336</v>
      </c>
      <c r="E24" s="114" t="s">
        <v>151</v>
      </c>
      <c r="F24" s="114">
        <v>1</v>
      </c>
      <c r="G24" s="114" t="s">
        <v>375</v>
      </c>
      <c r="H24" s="115">
        <v>15000000</v>
      </c>
      <c r="I24" s="165">
        <f t="shared" si="2"/>
        <v>15000000</v>
      </c>
      <c r="J24" s="137"/>
      <c r="M24" s="136"/>
      <c r="N24" s="136"/>
      <c r="O24" s="136"/>
    </row>
    <row r="25" spans="1:15" x14ac:dyDescent="0.2">
      <c r="A25" s="140"/>
      <c r="B25" s="151"/>
      <c r="C25" s="202"/>
      <c r="D25" s="112" t="s">
        <v>483</v>
      </c>
      <c r="E25" s="110" t="s">
        <v>414</v>
      </c>
      <c r="F25" s="110">
        <v>1</v>
      </c>
      <c r="G25" s="110" t="s">
        <v>283</v>
      </c>
      <c r="H25" s="115">
        <f>513000 + ((513000*0.03)*2)</f>
        <v>543780</v>
      </c>
      <c r="I25" s="165">
        <f t="shared" si="2"/>
        <v>543780</v>
      </c>
      <c r="J25" s="137"/>
      <c r="M25" s="136"/>
      <c r="N25" s="136"/>
      <c r="O25" s="136"/>
    </row>
    <row r="26" spans="1:15" x14ac:dyDescent="0.2">
      <c r="A26" s="140"/>
      <c r="B26" s="151"/>
      <c r="C26" s="202"/>
      <c r="D26" s="113" t="s">
        <v>484</v>
      </c>
      <c r="E26" s="114" t="s">
        <v>443</v>
      </c>
      <c r="F26" s="114">
        <v>2</v>
      </c>
      <c r="G26" s="114" t="s">
        <v>375</v>
      </c>
      <c r="H26" s="115">
        <v>4500000</v>
      </c>
      <c r="I26" s="165">
        <f t="shared" si="1"/>
        <v>9000000</v>
      </c>
      <c r="J26" s="137"/>
      <c r="M26" s="136"/>
      <c r="N26" s="136"/>
      <c r="O26" s="136"/>
    </row>
    <row r="27" spans="1:15" x14ac:dyDescent="0.2">
      <c r="A27" s="140"/>
      <c r="B27" s="151"/>
      <c r="C27" s="202"/>
      <c r="D27" s="113" t="s">
        <v>484</v>
      </c>
      <c r="E27" s="114" t="s">
        <v>337</v>
      </c>
      <c r="F27" s="114">
        <v>2</v>
      </c>
      <c r="G27" s="114" t="s">
        <v>375</v>
      </c>
      <c r="H27" s="115">
        <v>3500000</v>
      </c>
      <c r="I27" s="165">
        <f t="shared" si="1"/>
        <v>7000000</v>
      </c>
      <c r="J27" s="137"/>
      <c r="M27" s="136"/>
      <c r="N27" s="136"/>
      <c r="O27" s="136"/>
    </row>
    <row r="28" spans="1:15" x14ac:dyDescent="0.2">
      <c r="A28" s="140"/>
      <c r="B28" s="151"/>
      <c r="C28" s="202"/>
      <c r="D28" s="113" t="s">
        <v>484</v>
      </c>
      <c r="E28" s="114" t="s">
        <v>334</v>
      </c>
      <c r="F28" s="143">
        <v>1</v>
      </c>
      <c r="G28" s="114" t="s">
        <v>375</v>
      </c>
      <c r="H28" s="115">
        <v>3000000</v>
      </c>
      <c r="I28" s="165">
        <f t="shared" si="1"/>
        <v>3000000</v>
      </c>
      <c r="J28" s="137"/>
      <c r="M28" s="136"/>
      <c r="N28" s="136"/>
      <c r="O28" s="136"/>
    </row>
    <row r="29" spans="1:15" ht="30" x14ac:dyDescent="0.2">
      <c r="A29" s="140"/>
      <c r="B29" s="151"/>
      <c r="C29" s="202"/>
      <c r="D29" s="112" t="s">
        <v>485</v>
      </c>
      <c r="E29" s="110" t="s">
        <v>150</v>
      </c>
      <c r="F29" s="110">
        <v>1</v>
      </c>
      <c r="G29" s="110" t="s">
        <v>255</v>
      </c>
      <c r="H29" s="115">
        <v>130000</v>
      </c>
      <c r="I29" s="165">
        <f t="shared" si="1"/>
        <v>130000</v>
      </c>
      <c r="J29" s="137"/>
      <c r="M29" s="136"/>
      <c r="N29" s="136"/>
      <c r="O29" s="136"/>
    </row>
    <row r="30" spans="1:15" x14ac:dyDescent="0.2">
      <c r="A30" s="140"/>
      <c r="B30" s="151"/>
      <c r="C30" s="202"/>
      <c r="D30" s="112" t="s">
        <v>486</v>
      </c>
      <c r="E30" s="110" t="s">
        <v>150</v>
      </c>
      <c r="F30" s="110">
        <v>1</v>
      </c>
      <c r="G30" s="110" t="s">
        <v>255</v>
      </c>
      <c r="H30" s="115">
        <v>130000</v>
      </c>
      <c r="I30" s="165">
        <f t="shared" si="1"/>
        <v>130000</v>
      </c>
      <c r="J30" s="137"/>
      <c r="M30" s="136"/>
      <c r="N30" s="136"/>
      <c r="O30" s="136"/>
    </row>
    <row r="31" spans="1:15" x14ac:dyDescent="0.2">
      <c r="A31" s="140"/>
      <c r="B31" s="151"/>
      <c r="C31" s="202"/>
      <c r="D31" s="112" t="s">
        <v>487</v>
      </c>
      <c r="E31" s="110" t="s">
        <v>149</v>
      </c>
      <c r="F31" s="110">
        <v>2</v>
      </c>
      <c r="G31" s="110" t="s">
        <v>375</v>
      </c>
      <c r="H31" s="115">
        <f>294121 + ((294121*0.03)*2)</f>
        <v>311768.26</v>
      </c>
      <c r="I31" s="165">
        <f t="shared" si="1"/>
        <v>623536.52</v>
      </c>
      <c r="J31" s="137"/>
      <c r="M31" s="136"/>
      <c r="N31" s="136"/>
      <c r="O31" s="136"/>
    </row>
    <row r="32" spans="1:15" ht="30" x14ac:dyDescent="0.2">
      <c r="A32" s="140"/>
      <c r="B32" s="151"/>
      <c r="C32" s="202"/>
      <c r="D32" s="144" t="s">
        <v>444</v>
      </c>
      <c r="E32" s="110" t="s">
        <v>356</v>
      </c>
      <c r="F32" s="110">
        <v>1</v>
      </c>
      <c r="G32" s="110" t="s">
        <v>255</v>
      </c>
      <c r="H32" s="115">
        <v>100000</v>
      </c>
      <c r="I32" s="165">
        <f t="shared" si="1"/>
        <v>100000</v>
      </c>
      <c r="J32" s="137"/>
      <c r="M32" s="136"/>
      <c r="N32" s="136"/>
      <c r="O32" s="136"/>
    </row>
    <row r="33" spans="1:15" ht="30" hidden="1" x14ac:dyDescent="0.2">
      <c r="A33" s="140"/>
      <c r="B33" s="151"/>
      <c r="C33" s="202"/>
      <c r="D33" s="144" t="s">
        <v>567</v>
      </c>
      <c r="E33" s="110" t="s">
        <v>151</v>
      </c>
      <c r="F33" s="110">
        <v>0</v>
      </c>
      <c r="G33" s="110" t="s">
        <v>255</v>
      </c>
      <c r="H33" s="115">
        <v>111000</v>
      </c>
      <c r="I33" s="165">
        <f t="shared" si="1"/>
        <v>0</v>
      </c>
      <c r="J33" s="137"/>
      <c r="M33" s="136"/>
      <c r="N33" s="136"/>
      <c r="O33" s="136"/>
    </row>
    <row r="34" spans="1:15" x14ac:dyDescent="0.2">
      <c r="A34" s="140"/>
      <c r="B34" s="151"/>
      <c r="C34" s="202"/>
      <c r="D34" s="112" t="s">
        <v>415</v>
      </c>
      <c r="E34" s="110" t="s">
        <v>150</v>
      </c>
      <c r="F34" s="110">
        <v>2</v>
      </c>
      <c r="G34" s="110" t="s">
        <v>375</v>
      </c>
      <c r="H34" s="115">
        <v>114000</v>
      </c>
      <c r="I34" s="165">
        <f t="shared" si="1"/>
        <v>228000</v>
      </c>
      <c r="J34" s="137"/>
      <c r="M34" s="136"/>
      <c r="N34" s="136"/>
      <c r="O34" s="136"/>
    </row>
    <row r="35" spans="1:15" x14ac:dyDescent="0.2">
      <c r="A35" s="140"/>
      <c r="B35" s="151"/>
      <c r="C35" s="202"/>
      <c r="D35" s="112" t="s">
        <v>315</v>
      </c>
      <c r="E35" s="110" t="s">
        <v>150</v>
      </c>
      <c r="F35" s="110">
        <v>2</v>
      </c>
      <c r="G35" s="110" t="s">
        <v>375</v>
      </c>
      <c r="H35" s="115">
        <v>114000</v>
      </c>
      <c r="I35" s="165">
        <f t="shared" si="1"/>
        <v>228000</v>
      </c>
      <c r="J35" s="137"/>
      <c r="M35" s="136"/>
      <c r="N35" s="136"/>
      <c r="O35" s="136"/>
    </row>
    <row r="36" spans="1:15" ht="45" x14ac:dyDescent="0.2">
      <c r="A36" s="140"/>
      <c r="B36" s="151"/>
      <c r="C36" s="202"/>
      <c r="D36" s="113" t="s">
        <v>488</v>
      </c>
      <c r="E36" s="110" t="s">
        <v>464</v>
      </c>
      <c r="F36" s="110">
        <v>6</v>
      </c>
      <c r="G36" s="110" t="s">
        <v>463</v>
      </c>
      <c r="H36" s="115">
        <v>11660</v>
      </c>
      <c r="I36" s="165">
        <f t="shared" si="1"/>
        <v>69960</v>
      </c>
      <c r="J36" s="137"/>
      <c r="M36" s="136"/>
      <c r="N36" s="136"/>
      <c r="O36" s="136"/>
    </row>
    <row r="37" spans="1:15" x14ac:dyDescent="0.2">
      <c r="A37" s="140"/>
      <c r="B37" s="151"/>
      <c r="C37" s="202"/>
      <c r="D37" s="112" t="s">
        <v>316</v>
      </c>
      <c r="E37" s="143" t="s">
        <v>200</v>
      </c>
      <c r="F37" s="110">
        <v>2</v>
      </c>
      <c r="G37" s="110" t="s">
        <v>375</v>
      </c>
      <c r="H37" s="115">
        <v>600000</v>
      </c>
      <c r="I37" s="165">
        <f t="shared" si="1"/>
        <v>1200000</v>
      </c>
      <c r="J37" s="137"/>
      <c r="M37" s="136"/>
      <c r="N37" s="136"/>
      <c r="O37" s="136"/>
    </row>
    <row r="38" spans="1:15" ht="30" x14ac:dyDescent="0.2">
      <c r="A38" s="140"/>
      <c r="B38" s="151"/>
      <c r="C38" s="202"/>
      <c r="D38" s="112" t="s">
        <v>489</v>
      </c>
      <c r="E38" s="110" t="s">
        <v>153</v>
      </c>
      <c r="F38" s="110">
        <v>1</v>
      </c>
      <c r="G38" s="110" t="s">
        <v>255</v>
      </c>
      <c r="H38" s="115">
        <f>500000 + ((500000*0.03)*2)</f>
        <v>530000</v>
      </c>
      <c r="I38" s="165">
        <f t="shared" si="1"/>
        <v>530000</v>
      </c>
      <c r="J38" s="137"/>
      <c r="M38" s="136"/>
      <c r="N38" s="136"/>
      <c r="O38" s="136"/>
    </row>
    <row r="39" spans="1:15" x14ac:dyDescent="0.2">
      <c r="A39" s="140"/>
      <c r="B39" s="151"/>
      <c r="C39" s="202"/>
      <c r="D39" s="112" t="s">
        <v>338</v>
      </c>
      <c r="E39" s="110" t="s">
        <v>149</v>
      </c>
      <c r="F39" s="110">
        <v>1</v>
      </c>
      <c r="G39" s="110" t="s">
        <v>255</v>
      </c>
      <c r="H39" s="115">
        <v>130000</v>
      </c>
      <c r="I39" s="165">
        <f t="shared" si="1"/>
        <v>130000</v>
      </c>
      <c r="J39" s="137"/>
      <c r="M39" s="136"/>
      <c r="N39" s="136"/>
      <c r="O39" s="136"/>
    </row>
    <row r="40" spans="1:15" x14ac:dyDescent="0.2">
      <c r="A40" s="140"/>
      <c r="B40" s="151"/>
      <c r="C40" s="202"/>
      <c r="D40" s="112" t="s">
        <v>490</v>
      </c>
      <c r="E40" s="110" t="s">
        <v>153</v>
      </c>
      <c r="F40" s="110">
        <v>1</v>
      </c>
      <c r="G40" s="110" t="s">
        <v>255</v>
      </c>
      <c r="H40" s="115">
        <v>2500000</v>
      </c>
      <c r="I40" s="165">
        <f t="shared" si="1"/>
        <v>2500000</v>
      </c>
      <c r="J40" s="137"/>
      <c r="M40" s="136"/>
      <c r="N40" s="136"/>
      <c r="O40" s="136"/>
    </row>
    <row r="41" spans="1:15" x14ac:dyDescent="0.2">
      <c r="A41" s="140"/>
      <c r="B41" s="151"/>
      <c r="C41" s="202"/>
      <c r="D41" s="112" t="s">
        <v>208</v>
      </c>
      <c r="E41" s="114" t="s">
        <v>205</v>
      </c>
      <c r="F41" s="114">
        <v>3</v>
      </c>
      <c r="G41" s="110" t="s">
        <v>375</v>
      </c>
      <c r="H41" s="115">
        <v>2000000</v>
      </c>
      <c r="I41" s="165">
        <f t="shared" si="1"/>
        <v>6000000</v>
      </c>
      <c r="J41" s="137"/>
      <c r="M41" s="136"/>
      <c r="N41" s="136"/>
      <c r="O41" s="136"/>
    </row>
    <row r="42" spans="1:15" x14ac:dyDescent="0.2">
      <c r="A42" s="140"/>
      <c r="B42" s="151"/>
      <c r="C42" s="202"/>
      <c r="D42" s="112" t="s">
        <v>416</v>
      </c>
      <c r="E42" s="110" t="s">
        <v>149</v>
      </c>
      <c r="F42" s="110">
        <v>1</v>
      </c>
      <c r="G42" s="110" t="s">
        <v>255</v>
      </c>
      <c r="H42" s="115">
        <v>130000</v>
      </c>
      <c r="I42" s="165">
        <f t="shared" si="1"/>
        <v>130000</v>
      </c>
      <c r="J42" s="137"/>
      <c r="M42" s="136"/>
      <c r="N42" s="136"/>
      <c r="O42" s="136"/>
    </row>
    <row r="43" spans="1:15" ht="30" x14ac:dyDescent="0.2">
      <c r="A43" s="140"/>
      <c r="B43" s="151"/>
      <c r="C43" s="202"/>
      <c r="D43" s="112" t="s">
        <v>491</v>
      </c>
      <c r="E43" s="110" t="s">
        <v>153</v>
      </c>
      <c r="F43" s="110">
        <v>1</v>
      </c>
      <c r="G43" s="110" t="s">
        <v>255</v>
      </c>
      <c r="H43" s="115">
        <f>500000 + ((500000*0.03)*2)</f>
        <v>530000</v>
      </c>
      <c r="I43" s="165">
        <f t="shared" si="1"/>
        <v>530000</v>
      </c>
      <c r="J43" s="137"/>
      <c r="M43" s="136"/>
      <c r="N43" s="136"/>
      <c r="O43" s="136"/>
    </row>
    <row r="44" spans="1:15" ht="30" x14ac:dyDescent="0.2">
      <c r="A44" s="140"/>
      <c r="B44" s="151"/>
      <c r="C44" s="202"/>
      <c r="D44" s="144" t="s">
        <v>449</v>
      </c>
      <c r="E44" s="110" t="s">
        <v>153</v>
      </c>
      <c r="F44" s="110">
        <v>1</v>
      </c>
      <c r="G44" s="110" t="s">
        <v>255</v>
      </c>
      <c r="H44" s="115">
        <f>500000 + ((500000*0.03)*2)</f>
        <v>530000</v>
      </c>
      <c r="I44" s="165">
        <f t="shared" si="1"/>
        <v>530000</v>
      </c>
      <c r="J44" s="137"/>
      <c r="M44" s="136"/>
      <c r="N44" s="136"/>
      <c r="O44" s="136"/>
    </row>
    <row r="45" spans="1:15" ht="60" x14ac:dyDescent="0.2">
      <c r="A45" s="140"/>
      <c r="B45" s="151"/>
      <c r="C45" s="202"/>
      <c r="D45" s="166" t="s">
        <v>492</v>
      </c>
      <c r="E45" s="110" t="s">
        <v>468</v>
      </c>
      <c r="F45" s="110">
        <v>6</v>
      </c>
      <c r="G45" s="110" t="s">
        <v>463</v>
      </c>
      <c r="H45" s="115">
        <v>8500</v>
      </c>
      <c r="I45" s="165">
        <f t="shared" si="1"/>
        <v>51000</v>
      </c>
      <c r="J45" s="137"/>
      <c r="M45" s="136"/>
      <c r="N45" s="136"/>
      <c r="O45" s="136"/>
    </row>
    <row r="46" spans="1:15" x14ac:dyDescent="0.2">
      <c r="A46" s="140"/>
      <c r="B46" s="151"/>
      <c r="C46" s="202"/>
      <c r="D46" s="112" t="s">
        <v>339</v>
      </c>
      <c r="E46" s="110" t="s">
        <v>445</v>
      </c>
      <c r="F46" s="110">
        <v>2</v>
      </c>
      <c r="G46" s="110" t="s">
        <v>375</v>
      </c>
      <c r="H46" s="115">
        <f>83000 + ((83000*0.03)*2)</f>
        <v>87980</v>
      </c>
      <c r="I46" s="165">
        <f>+H46*F46</f>
        <v>175960</v>
      </c>
      <c r="J46" s="137"/>
      <c r="M46" s="136"/>
      <c r="N46" s="136"/>
      <c r="O46" s="136"/>
    </row>
    <row r="47" spans="1:15" x14ac:dyDescent="0.2">
      <c r="A47" s="140"/>
      <c r="B47" s="151"/>
      <c r="C47" s="202"/>
      <c r="D47" s="112" t="s">
        <v>314</v>
      </c>
      <c r="E47" s="110" t="s">
        <v>335</v>
      </c>
      <c r="F47" s="110">
        <v>2</v>
      </c>
      <c r="G47" s="110" t="s">
        <v>375</v>
      </c>
      <c r="H47" s="115">
        <f>88000 + ((88000*0.03)*2)</f>
        <v>93280</v>
      </c>
      <c r="I47" s="165">
        <f>+H47*F47</f>
        <v>186560</v>
      </c>
      <c r="J47" s="137"/>
      <c r="M47" s="136"/>
      <c r="N47" s="136"/>
      <c r="O47" s="136"/>
    </row>
    <row r="48" spans="1:15" x14ac:dyDescent="0.2">
      <c r="A48" s="140"/>
      <c r="B48" s="151"/>
      <c r="C48" s="202"/>
      <c r="D48" s="112" t="s">
        <v>340</v>
      </c>
      <c r="E48" s="110" t="s">
        <v>446</v>
      </c>
      <c r="F48" s="110">
        <v>1</v>
      </c>
      <c r="G48" s="110" t="s">
        <v>255</v>
      </c>
      <c r="H48" s="115">
        <f>96600 + ((96600*0.03)*2)</f>
        <v>102396</v>
      </c>
      <c r="I48" s="165">
        <f t="shared" ref="I48:I50" si="3">+H48*F48</f>
        <v>102396</v>
      </c>
      <c r="J48" s="137"/>
      <c r="M48" s="136"/>
      <c r="N48" s="136"/>
      <c r="O48" s="136"/>
    </row>
    <row r="49" spans="1:15" x14ac:dyDescent="0.2">
      <c r="A49" s="140"/>
      <c r="B49" s="151"/>
      <c r="C49" s="202"/>
      <c r="D49" s="112" t="s">
        <v>417</v>
      </c>
      <c r="E49" s="110" t="s">
        <v>335</v>
      </c>
      <c r="F49" s="110">
        <v>1</v>
      </c>
      <c r="G49" s="110" t="s">
        <v>255</v>
      </c>
      <c r="H49" s="115">
        <f>88000 + ((88000*0.03)*2)</f>
        <v>93280</v>
      </c>
      <c r="I49" s="165">
        <f t="shared" si="3"/>
        <v>93280</v>
      </c>
      <c r="J49" s="137"/>
      <c r="M49" s="136"/>
      <c r="N49" s="136"/>
      <c r="O49" s="136"/>
    </row>
    <row r="50" spans="1:15" x14ac:dyDescent="0.2">
      <c r="A50" s="140"/>
      <c r="B50" s="151"/>
      <c r="C50" s="202"/>
      <c r="D50" s="112" t="s">
        <v>341</v>
      </c>
      <c r="E50" s="110" t="s">
        <v>335</v>
      </c>
      <c r="F50" s="110">
        <v>1</v>
      </c>
      <c r="G50" s="110" t="s">
        <v>283</v>
      </c>
      <c r="H50" s="115">
        <f>76700 + ((76700*0.03)*2)</f>
        <v>81302</v>
      </c>
      <c r="I50" s="165">
        <f t="shared" si="3"/>
        <v>81302</v>
      </c>
      <c r="J50" s="137"/>
      <c r="M50" s="136"/>
      <c r="N50" s="136"/>
      <c r="O50" s="136"/>
    </row>
    <row r="51" spans="1:15" x14ac:dyDescent="0.2">
      <c r="A51" s="140"/>
      <c r="B51" s="140"/>
      <c r="C51" s="205"/>
      <c r="D51" s="125"/>
      <c r="E51" s="140"/>
      <c r="F51" s="140"/>
      <c r="G51" s="140"/>
      <c r="H51" s="140"/>
      <c r="I51" s="165"/>
      <c r="J51" s="169"/>
    </row>
    <row r="52" spans="1:15" ht="30" x14ac:dyDescent="0.2">
      <c r="A52" s="160"/>
      <c r="B52" s="167" t="s">
        <v>2</v>
      </c>
      <c r="C52" s="203">
        <v>3</v>
      </c>
      <c r="D52" s="161" t="s">
        <v>317</v>
      </c>
      <c r="E52" s="160"/>
      <c r="F52" s="140"/>
      <c r="G52" s="140"/>
      <c r="H52" s="140"/>
      <c r="I52" s="165"/>
      <c r="J52" s="164">
        <f>SUM(I53:I66)/100000</f>
        <v>62.9024</v>
      </c>
    </row>
    <row r="53" spans="1:15" x14ac:dyDescent="0.2">
      <c r="A53" s="160"/>
      <c r="B53" s="140"/>
      <c r="C53" s="205"/>
      <c r="D53" s="112" t="s">
        <v>447</v>
      </c>
      <c r="E53" s="110" t="s">
        <v>156</v>
      </c>
      <c r="F53" s="110">
        <v>1</v>
      </c>
      <c r="G53" s="110" t="s">
        <v>255</v>
      </c>
      <c r="H53" s="115">
        <v>1000000</v>
      </c>
      <c r="I53" s="165">
        <f>+H53*F53</f>
        <v>1000000</v>
      </c>
      <c r="J53" s="170"/>
    </row>
    <row r="54" spans="1:15" x14ac:dyDescent="0.2">
      <c r="A54" s="160"/>
      <c r="B54" s="140"/>
      <c r="C54" s="205"/>
      <c r="D54" s="112" t="s">
        <v>448</v>
      </c>
      <c r="E54" s="110" t="s">
        <v>149</v>
      </c>
      <c r="F54" s="110">
        <v>1</v>
      </c>
      <c r="G54" s="110" t="s">
        <v>283</v>
      </c>
      <c r="H54" s="115">
        <v>500000</v>
      </c>
      <c r="I54" s="165">
        <f>+H54*F54</f>
        <v>500000</v>
      </c>
      <c r="J54" s="170"/>
    </row>
    <row r="55" spans="1:15" ht="30" x14ac:dyDescent="0.2">
      <c r="A55" s="160"/>
      <c r="B55" s="140"/>
      <c r="C55" s="205"/>
      <c r="D55" s="112" t="s">
        <v>455</v>
      </c>
      <c r="E55" s="110" t="s">
        <v>163</v>
      </c>
      <c r="F55" s="110">
        <v>1</v>
      </c>
      <c r="G55" s="110" t="s">
        <v>255</v>
      </c>
      <c r="H55" s="115">
        <f>61000 + ((61000*0.07)*4)</f>
        <v>78080</v>
      </c>
      <c r="I55" s="165">
        <f t="shared" ref="I55:I66" si="4">+H55*F55</f>
        <v>78080</v>
      </c>
      <c r="J55" s="170"/>
    </row>
    <row r="56" spans="1:15" ht="30" x14ac:dyDescent="0.2">
      <c r="A56" s="160"/>
      <c r="B56" s="140"/>
      <c r="C56" s="205"/>
      <c r="D56" s="112" t="s">
        <v>493</v>
      </c>
      <c r="E56" s="110" t="s">
        <v>156</v>
      </c>
      <c r="F56" s="110">
        <v>1</v>
      </c>
      <c r="G56" s="110" t="s">
        <v>254</v>
      </c>
      <c r="H56" s="115">
        <f>142000 + ((142000*0.03)*2)</f>
        <v>150520</v>
      </c>
      <c r="I56" s="165">
        <f t="shared" si="4"/>
        <v>150520</v>
      </c>
      <c r="J56" s="170"/>
    </row>
    <row r="57" spans="1:15" x14ac:dyDescent="0.2">
      <c r="A57" s="160"/>
      <c r="B57" s="140"/>
      <c r="C57" s="205"/>
      <c r="D57" s="112" t="s">
        <v>456</v>
      </c>
      <c r="E57" s="110" t="s">
        <v>163</v>
      </c>
      <c r="F57" s="110">
        <v>1</v>
      </c>
      <c r="G57" s="110" t="s">
        <v>255</v>
      </c>
      <c r="H57" s="115">
        <f>61000 + ((61000*0.07)*4)</f>
        <v>78080</v>
      </c>
      <c r="I57" s="165">
        <f t="shared" si="4"/>
        <v>78080</v>
      </c>
      <c r="J57" s="170"/>
    </row>
    <row r="58" spans="1:15" x14ac:dyDescent="0.2">
      <c r="A58" s="160"/>
      <c r="B58" s="140"/>
      <c r="C58" s="205"/>
      <c r="D58" s="112" t="s">
        <v>318</v>
      </c>
      <c r="E58" s="110" t="s">
        <v>550</v>
      </c>
      <c r="F58" s="110">
        <v>1</v>
      </c>
      <c r="G58" s="110" t="s">
        <v>255</v>
      </c>
      <c r="H58" s="115">
        <v>400000</v>
      </c>
      <c r="I58" s="165">
        <f t="shared" si="4"/>
        <v>400000</v>
      </c>
      <c r="J58" s="170"/>
    </row>
    <row r="59" spans="1:15" x14ac:dyDescent="0.2">
      <c r="A59" s="160"/>
      <c r="B59" s="140"/>
      <c r="C59" s="205"/>
      <c r="D59" s="112" t="s">
        <v>457</v>
      </c>
      <c r="E59" s="110" t="s">
        <v>551</v>
      </c>
      <c r="F59" s="110">
        <v>1</v>
      </c>
      <c r="G59" s="110" t="s">
        <v>255</v>
      </c>
      <c r="H59" s="115">
        <v>800000</v>
      </c>
      <c r="I59" s="165">
        <f t="shared" si="4"/>
        <v>800000</v>
      </c>
      <c r="J59" s="170"/>
    </row>
    <row r="60" spans="1:15" x14ac:dyDescent="0.2">
      <c r="A60" s="160"/>
      <c r="B60" s="140"/>
      <c r="C60" s="205"/>
      <c r="D60" s="112" t="s">
        <v>494</v>
      </c>
      <c r="E60" s="110" t="s">
        <v>159</v>
      </c>
      <c r="F60" s="110">
        <v>1</v>
      </c>
      <c r="G60" s="110" t="s">
        <v>255</v>
      </c>
      <c r="H60" s="115">
        <v>200000</v>
      </c>
      <c r="I60" s="165">
        <f t="shared" si="4"/>
        <v>200000</v>
      </c>
      <c r="J60" s="170"/>
    </row>
    <row r="61" spans="1:15" x14ac:dyDescent="0.2">
      <c r="A61" s="160"/>
      <c r="B61" s="140"/>
      <c r="C61" s="205"/>
      <c r="D61" s="112" t="s">
        <v>495</v>
      </c>
      <c r="E61" s="110" t="s">
        <v>205</v>
      </c>
      <c r="F61" s="110">
        <v>2</v>
      </c>
      <c r="G61" s="110" t="s">
        <v>375</v>
      </c>
      <c r="H61" s="115">
        <v>1000000</v>
      </c>
      <c r="I61" s="165">
        <f>+H61*F61</f>
        <v>2000000</v>
      </c>
      <c r="J61" s="170"/>
    </row>
    <row r="62" spans="1:15" x14ac:dyDescent="0.2">
      <c r="A62" s="160"/>
      <c r="B62" s="140"/>
      <c r="C62" s="205"/>
      <c r="D62" s="112" t="s">
        <v>418</v>
      </c>
      <c r="E62" s="114" t="s">
        <v>149</v>
      </c>
      <c r="F62" s="110">
        <v>1</v>
      </c>
      <c r="G62" s="110" t="s">
        <v>255</v>
      </c>
      <c r="H62" s="115">
        <v>130000</v>
      </c>
      <c r="I62" s="165">
        <f t="shared" si="4"/>
        <v>130000</v>
      </c>
      <c r="J62" s="170"/>
    </row>
    <row r="63" spans="1:15" x14ac:dyDescent="0.2">
      <c r="A63" s="160"/>
      <c r="B63" s="140"/>
      <c r="C63" s="205"/>
      <c r="D63" s="112" t="s">
        <v>496</v>
      </c>
      <c r="E63" s="110" t="s">
        <v>159</v>
      </c>
      <c r="F63" s="110">
        <v>1</v>
      </c>
      <c r="G63" s="110" t="s">
        <v>255</v>
      </c>
      <c r="H63" s="115">
        <v>111000</v>
      </c>
      <c r="I63" s="165">
        <f t="shared" si="4"/>
        <v>111000</v>
      </c>
      <c r="J63" s="170"/>
    </row>
    <row r="64" spans="1:15" x14ac:dyDescent="0.2">
      <c r="A64" s="160"/>
      <c r="B64" s="140"/>
      <c r="C64" s="205"/>
      <c r="D64" s="112" t="s">
        <v>319</v>
      </c>
      <c r="E64" s="110" t="s">
        <v>159</v>
      </c>
      <c r="F64" s="110">
        <v>1</v>
      </c>
      <c r="G64" s="110" t="s">
        <v>255</v>
      </c>
      <c r="H64" s="115">
        <f>502000 + ((502000*0.07)*4)</f>
        <v>642560</v>
      </c>
      <c r="I64" s="165">
        <f t="shared" si="4"/>
        <v>642560</v>
      </c>
      <c r="J64" s="170"/>
    </row>
    <row r="65" spans="1:10" ht="30" x14ac:dyDescent="0.2">
      <c r="A65" s="160"/>
      <c r="B65" s="140"/>
      <c r="C65" s="205"/>
      <c r="D65" s="112" t="s">
        <v>497</v>
      </c>
      <c r="E65" s="110" t="s">
        <v>159</v>
      </c>
      <c r="F65" s="110">
        <v>1</v>
      </c>
      <c r="G65" s="110" t="s">
        <v>255</v>
      </c>
      <c r="H65" s="115">
        <v>100000</v>
      </c>
      <c r="I65" s="165">
        <f t="shared" si="4"/>
        <v>100000</v>
      </c>
      <c r="J65" s="170"/>
    </row>
    <row r="66" spans="1:10" ht="30" x14ac:dyDescent="0.2">
      <c r="A66" s="160"/>
      <c r="B66" s="140"/>
      <c r="C66" s="205"/>
      <c r="D66" s="144" t="s">
        <v>498</v>
      </c>
      <c r="E66" s="110" t="s">
        <v>159</v>
      </c>
      <c r="F66" s="110">
        <v>1</v>
      </c>
      <c r="G66" s="110" t="s">
        <v>255</v>
      </c>
      <c r="H66" s="115">
        <v>100000</v>
      </c>
      <c r="I66" s="165">
        <f t="shared" si="4"/>
        <v>100000</v>
      </c>
      <c r="J66" s="170"/>
    </row>
    <row r="67" spans="1:10" x14ac:dyDescent="0.2">
      <c r="A67" s="140"/>
      <c r="B67" s="140"/>
      <c r="C67" s="205"/>
      <c r="D67" s="125"/>
      <c r="E67" s="140"/>
      <c r="F67" s="140"/>
      <c r="G67" s="140"/>
      <c r="H67" s="140"/>
      <c r="I67" s="165"/>
      <c r="J67" s="169"/>
    </row>
    <row r="68" spans="1:10" ht="30" x14ac:dyDescent="0.2">
      <c r="A68" s="160">
        <v>779</v>
      </c>
      <c r="B68" s="171" t="s">
        <v>2</v>
      </c>
      <c r="C68" s="204">
        <v>4</v>
      </c>
      <c r="D68" s="162" t="s">
        <v>8</v>
      </c>
      <c r="E68" s="160"/>
      <c r="F68" s="140"/>
      <c r="G68" s="140"/>
      <c r="H68" s="140"/>
      <c r="I68" s="165"/>
      <c r="J68" s="172">
        <f>SUM(I69:I87)/100000</f>
        <v>482.15755999999999</v>
      </c>
    </row>
    <row r="69" spans="1:10" x14ac:dyDescent="0.2">
      <c r="A69" s="140"/>
      <c r="B69" s="140"/>
      <c r="C69" s="205"/>
      <c r="D69" s="112" t="s">
        <v>419</v>
      </c>
      <c r="E69" s="110" t="s">
        <v>561</v>
      </c>
      <c r="F69" s="110">
        <v>3</v>
      </c>
      <c r="G69" s="110" t="s">
        <v>375</v>
      </c>
      <c r="H69" s="115">
        <v>1500000</v>
      </c>
      <c r="I69" s="165">
        <f t="shared" ref="I69:I87" si="5">+H69*F69</f>
        <v>4500000</v>
      </c>
      <c r="J69" s="137"/>
    </row>
    <row r="70" spans="1:10" x14ac:dyDescent="0.2">
      <c r="A70" s="140"/>
      <c r="B70" s="140"/>
      <c r="C70" s="205"/>
      <c r="D70" s="112" t="s">
        <v>458</v>
      </c>
      <c r="E70" s="143" t="s">
        <v>561</v>
      </c>
      <c r="F70" s="143">
        <v>3</v>
      </c>
      <c r="G70" s="110" t="s">
        <v>410</v>
      </c>
      <c r="H70" s="115">
        <v>3000000</v>
      </c>
      <c r="I70" s="165">
        <f t="shared" si="5"/>
        <v>9000000</v>
      </c>
      <c r="J70" s="137"/>
    </row>
    <row r="71" spans="1:10" x14ac:dyDescent="0.2">
      <c r="A71" s="140"/>
      <c r="B71" s="140"/>
      <c r="C71" s="205"/>
      <c r="D71" s="113" t="s">
        <v>450</v>
      </c>
      <c r="E71" s="143" t="s">
        <v>320</v>
      </c>
      <c r="F71" s="143">
        <v>4</v>
      </c>
      <c r="G71" s="114" t="s">
        <v>375</v>
      </c>
      <c r="H71" s="115">
        <v>3500000</v>
      </c>
      <c r="I71" s="165">
        <f t="shared" si="5"/>
        <v>14000000</v>
      </c>
      <c r="J71" s="137"/>
    </row>
    <row r="72" spans="1:10" ht="30" x14ac:dyDescent="0.2">
      <c r="A72" s="140"/>
      <c r="B72" s="140"/>
      <c r="C72" s="205"/>
      <c r="D72" s="113" t="s">
        <v>605</v>
      </c>
      <c r="E72" s="143" t="s">
        <v>320</v>
      </c>
      <c r="F72" s="143">
        <v>3</v>
      </c>
      <c r="G72" s="114" t="s">
        <v>375</v>
      </c>
      <c r="H72" s="115">
        <v>3500000</v>
      </c>
      <c r="I72" s="165">
        <f t="shared" ref="I72" si="6">+H72*F72</f>
        <v>10500000</v>
      </c>
      <c r="J72" s="137"/>
    </row>
    <row r="73" spans="1:10" x14ac:dyDescent="0.2">
      <c r="A73" s="140"/>
      <c r="B73" s="140"/>
      <c r="C73" s="205"/>
      <c r="D73" s="112" t="s">
        <v>342</v>
      </c>
      <c r="E73" s="143" t="s">
        <v>154</v>
      </c>
      <c r="F73" s="143">
        <v>4</v>
      </c>
      <c r="G73" s="110" t="s">
        <v>375</v>
      </c>
      <c r="H73" s="115">
        <v>1600000</v>
      </c>
      <c r="I73" s="165">
        <f t="shared" si="5"/>
        <v>6400000</v>
      </c>
      <c r="J73" s="137"/>
    </row>
    <row r="74" spans="1:10" x14ac:dyDescent="0.2">
      <c r="A74" s="140"/>
      <c r="B74" s="140"/>
      <c r="C74" s="205"/>
      <c r="D74" s="112" t="s">
        <v>421</v>
      </c>
      <c r="E74" s="143" t="s">
        <v>149</v>
      </c>
      <c r="F74" s="143">
        <v>2</v>
      </c>
      <c r="G74" s="110" t="s">
        <v>255</v>
      </c>
      <c r="H74" s="115">
        <f>40000 + ((40000*0.07)*4)</f>
        <v>51200</v>
      </c>
      <c r="I74" s="165">
        <f t="shared" si="5"/>
        <v>102400</v>
      </c>
      <c r="J74" s="137"/>
    </row>
    <row r="75" spans="1:10" x14ac:dyDescent="0.2">
      <c r="A75" s="140"/>
      <c r="B75" s="140"/>
      <c r="C75" s="205"/>
      <c r="D75" s="112" t="s">
        <v>420</v>
      </c>
      <c r="E75" s="114" t="s">
        <v>149</v>
      </c>
      <c r="F75" s="110">
        <v>1</v>
      </c>
      <c r="G75" s="110" t="s">
        <v>255</v>
      </c>
      <c r="H75" s="115">
        <v>130000</v>
      </c>
      <c r="I75" s="165">
        <f t="shared" si="5"/>
        <v>130000</v>
      </c>
      <c r="J75" s="137"/>
    </row>
    <row r="76" spans="1:10" x14ac:dyDescent="0.2">
      <c r="A76" s="140"/>
      <c r="B76" s="140"/>
      <c r="C76" s="205"/>
      <c r="D76" s="112" t="s">
        <v>499</v>
      </c>
      <c r="E76" s="114" t="s">
        <v>149</v>
      </c>
      <c r="F76" s="114">
        <v>2</v>
      </c>
      <c r="G76" s="114" t="s">
        <v>255</v>
      </c>
      <c r="H76" s="115">
        <v>130000</v>
      </c>
      <c r="I76" s="165">
        <f t="shared" si="5"/>
        <v>260000</v>
      </c>
      <c r="J76" s="137"/>
    </row>
    <row r="77" spans="1:10" ht="30" x14ac:dyDescent="0.2">
      <c r="A77" s="140"/>
      <c r="B77" s="140"/>
      <c r="C77" s="205"/>
      <c r="D77" s="112" t="s">
        <v>500</v>
      </c>
      <c r="E77" s="110" t="s">
        <v>348</v>
      </c>
      <c r="F77" s="110">
        <v>1</v>
      </c>
      <c r="G77" s="110" t="s">
        <v>254</v>
      </c>
      <c r="H77" s="111">
        <v>75000</v>
      </c>
      <c r="I77" s="165">
        <f t="shared" si="5"/>
        <v>75000</v>
      </c>
      <c r="J77" s="137"/>
    </row>
    <row r="78" spans="1:10" ht="30" x14ac:dyDescent="0.2">
      <c r="A78" s="140"/>
      <c r="B78" s="140"/>
      <c r="C78" s="205"/>
      <c r="D78" s="112" t="s">
        <v>501</v>
      </c>
      <c r="E78" s="110" t="s">
        <v>163</v>
      </c>
      <c r="F78" s="110">
        <v>2</v>
      </c>
      <c r="G78" s="110" t="s">
        <v>375</v>
      </c>
      <c r="H78" s="111">
        <v>110000</v>
      </c>
      <c r="I78" s="165">
        <f t="shared" si="5"/>
        <v>220000</v>
      </c>
      <c r="J78" s="137"/>
    </row>
    <row r="79" spans="1:10" x14ac:dyDescent="0.2">
      <c r="A79" s="140"/>
      <c r="B79" s="140"/>
      <c r="C79" s="205"/>
      <c r="D79" s="112" t="s">
        <v>421</v>
      </c>
      <c r="E79" s="110" t="s">
        <v>163</v>
      </c>
      <c r="F79" s="110">
        <v>1</v>
      </c>
      <c r="G79" s="110" t="s">
        <v>255</v>
      </c>
      <c r="H79" s="111">
        <v>75000</v>
      </c>
      <c r="I79" s="165">
        <f t="shared" si="5"/>
        <v>75000</v>
      </c>
      <c r="J79" s="137"/>
    </row>
    <row r="80" spans="1:10" x14ac:dyDescent="0.2">
      <c r="A80" s="140"/>
      <c r="B80" s="140"/>
      <c r="C80" s="205"/>
      <c r="D80" s="112" t="s">
        <v>422</v>
      </c>
      <c r="E80" s="110" t="s">
        <v>163</v>
      </c>
      <c r="F80" s="110">
        <v>1</v>
      </c>
      <c r="G80" s="110" t="s">
        <v>255</v>
      </c>
      <c r="H80" s="111">
        <v>110000</v>
      </c>
      <c r="I80" s="165">
        <f t="shared" si="5"/>
        <v>110000</v>
      </c>
      <c r="J80" s="137"/>
    </row>
    <row r="81" spans="1:10" x14ac:dyDescent="0.2">
      <c r="A81" s="140"/>
      <c r="B81" s="140"/>
      <c r="C81" s="205"/>
      <c r="D81" s="112" t="s">
        <v>350</v>
      </c>
      <c r="E81" s="110" t="s">
        <v>348</v>
      </c>
      <c r="F81" s="110">
        <v>1</v>
      </c>
      <c r="G81" s="110" t="s">
        <v>255</v>
      </c>
      <c r="H81" s="111">
        <v>86000</v>
      </c>
      <c r="I81" s="165">
        <f t="shared" si="5"/>
        <v>86000</v>
      </c>
      <c r="J81" s="137"/>
    </row>
    <row r="82" spans="1:10" x14ac:dyDescent="0.2">
      <c r="A82" s="140"/>
      <c r="B82" s="140"/>
      <c r="C82" s="205"/>
      <c r="D82" s="112" t="s">
        <v>329</v>
      </c>
      <c r="E82" s="110" t="s">
        <v>153</v>
      </c>
      <c r="F82" s="110">
        <v>1</v>
      </c>
      <c r="G82" s="110" t="s">
        <v>255</v>
      </c>
      <c r="H82" s="111">
        <v>150000</v>
      </c>
      <c r="I82" s="165">
        <f t="shared" si="5"/>
        <v>150000</v>
      </c>
      <c r="J82" s="137"/>
    </row>
    <row r="83" spans="1:10" x14ac:dyDescent="0.2">
      <c r="A83" s="140"/>
      <c r="B83" s="140"/>
      <c r="C83" s="205"/>
      <c r="D83" s="112" t="s">
        <v>421</v>
      </c>
      <c r="E83" s="110" t="s">
        <v>153</v>
      </c>
      <c r="F83" s="110">
        <v>1</v>
      </c>
      <c r="G83" s="110" t="s">
        <v>255</v>
      </c>
      <c r="H83" s="111">
        <v>150000</v>
      </c>
      <c r="I83" s="165">
        <f t="shared" si="5"/>
        <v>150000</v>
      </c>
      <c r="J83" s="137"/>
    </row>
    <row r="84" spans="1:10" x14ac:dyDescent="0.2">
      <c r="A84" s="140"/>
      <c r="B84" s="140"/>
      <c r="C84" s="205"/>
      <c r="D84" s="112" t="s">
        <v>423</v>
      </c>
      <c r="E84" s="110" t="s">
        <v>153</v>
      </c>
      <c r="F84" s="110">
        <v>1</v>
      </c>
      <c r="G84" s="110" t="s">
        <v>255</v>
      </c>
      <c r="H84" s="111">
        <v>250000</v>
      </c>
      <c r="I84" s="165">
        <f t="shared" si="5"/>
        <v>250000</v>
      </c>
      <c r="J84" s="137"/>
    </row>
    <row r="85" spans="1:10" x14ac:dyDescent="0.2">
      <c r="A85" s="140"/>
      <c r="B85" s="140"/>
      <c r="C85" s="205"/>
      <c r="D85" s="112" t="s">
        <v>424</v>
      </c>
      <c r="E85" s="110" t="s">
        <v>149</v>
      </c>
      <c r="F85" s="110">
        <v>12</v>
      </c>
      <c r="G85" s="110" t="s">
        <v>375</v>
      </c>
      <c r="H85" s="115">
        <f>19600 + ((19600*0.07)*4)</f>
        <v>25088</v>
      </c>
      <c r="I85" s="165">
        <f t="shared" si="5"/>
        <v>301056</v>
      </c>
      <c r="J85" s="137"/>
    </row>
    <row r="86" spans="1:10" ht="30" x14ac:dyDescent="0.2">
      <c r="A86" s="140"/>
      <c r="B86" s="140"/>
      <c r="C86" s="205"/>
      <c r="D86" s="112" t="s">
        <v>451</v>
      </c>
      <c r="E86" s="110" t="s">
        <v>149</v>
      </c>
      <c r="F86" s="114">
        <v>3</v>
      </c>
      <c r="G86" s="110" t="s">
        <v>375</v>
      </c>
      <c r="H86" s="115">
        <f>285000 + ((285000*0.03)*2)</f>
        <v>302100</v>
      </c>
      <c r="I86" s="165">
        <f t="shared" si="5"/>
        <v>906300</v>
      </c>
      <c r="J86" s="137"/>
    </row>
    <row r="87" spans="1:10" x14ac:dyDescent="0.2">
      <c r="A87" s="140"/>
      <c r="B87" s="140"/>
      <c r="C87" s="205"/>
      <c r="D87" s="112" t="s">
        <v>321</v>
      </c>
      <c r="E87" s="110" t="s">
        <v>149</v>
      </c>
      <c r="F87" s="110">
        <v>1</v>
      </c>
      <c r="G87" s="110" t="s">
        <v>254</v>
      </c>
      <c r="H87" s="115">
        <v>1000000</v>
      </c>
      <c r="I87" s="165">
        <f t="shared" si="5"/>
        <v>1000000</v>
      </c>
      <c r="J87" s="137"/>
    </row>
    <row r="88" spans="1:10" x14ac:dyDescent="0.2">
      <c r="A88" s="140"/>
      <c r="B88" s="140"/>
      <c r="C88" s="205"/>
      <c r="D88" s="125"/>
      <c r="E88" s="140"/>
      <c r="F88" s="140"/>
      <c r="G88" s="125"/>
      <c r="H88" s="125"/>
      <c r="I88" s="165"/>
      <c r="J88" s="137"/>
    </row>
    <row r="89" spans="1:10" x14ac:dyDescent="0.2">
      <c r="A89" s="160">
        <v>779</v>
      </c>
      <c r="B89" s="171" t="s">
        <v>3</v>
      </c>
      <c r="C89" s="204">
        <v>5</v>
      </c>
      <c r="D89" s="162" t="s">
        <v>75</v>
      </c>
      <c r="E89" s="160"/>
      <c r="F89" s="140"/>
      <c r="G89" s="140"/>
      <c r="H89" s="140"/>
      <c r="I89" s="165"/>
      <c r="J89" s="172">
        <f>SUM(I90:I95)/100000</f>
        <v>16.583400000000001</v>
      </c>
    </row>
    <row r="90" spans="1:10" x14ac:dyDescent="0.2">
      <c r="A90" s="140"/>
      <c r="B90" s="140"/>
      <c r="C90" s="205"/>
      <c r="D90" s="112" t="s">
        <v>322</v>
      </c>
      <c r="E90" s="110" t="s">
        <v>260</v>
      </c>
      <c r="F90" s="110">
        <v>1</v>
      </c>
      <c r="G90" s="110" t="s">
        <v>255</v>
      </c>
      <c r="H90" s="115">
        <f>285000 + ((285000*0.03)*2)</f>
        <v>302100</v>
      </c>
      <c r="I90" s="165">
        <f t="shared" ref="I90:I95" si="7">+H90*F90</f>
        <v>302100</v>
      </c>
      <c r="J90" s="137"/>
    </row>
    <row r="91" spans="1:10" x14ac:dyDescent="0.2">
      <c r="A91" s="140"/>
      <c r="B91" s="140"/>
      <c r="C91" s="205"/>
      <c r="D91" s="112" t="s">
        <v>349</v>
      </c>
      <c r="E91" s="110" t="s">
        <v>153</v>
      </c>
      <c r="F91" s="110">
        <v>1</v>
      </c>
      <c r="G91" s="110" t="s">
        <v>255</v>
      </c>
      <c r="H91" s="115">
        <f>61000 + ((61000*0.07)*4)</f>
        <v>78080</v>
      </c>
      <c r="I91" s="165">
        <f t="shared" si="7"/>
        <v>78080</v>
      </c>
      <c r="J91" s="137"/>
    </row>
    <row r="92" spans="1:10" x14ac:dyDescent="0.2">
      <c r="A92" s="140"/>
      <c r="B92" s="140"/>
      <c r="C92" s="205"/>
      <c r="D92" s="112" t="s">
        <v>157</v>
      </c>
      <c r="E92" s="110" t="s">
        <v>153</v>
      </c>
      <c r="F92" s="110">
        <v>1</v>
      </c>
      <c r="G92" s="110" t="s">
        <v>255</v>
      </c>
      <c r="H92" s="115">
        <f>211000 + ((211000*0.07)*4)</f>
        <v>270080</v>
      </c>
      <c r="I92" s="165">
        <f t="shared" si="7"/>
        <v>270080</v>
      </c>
      <c r="J92" s="137"/>
    </row>
    <row r="93" spans="1:10" x14ac:dyDescent="0.2">
      <c r="A93" s="140"/>
      <c r="B93" s="140"/>
      <c r="C93" s="205"/>
      <c r="D93" s="112" t="s">
        <v>425</v>
      </c>
      <c r="E93" s="110" t="s">
        <v>200</v>
      </c>
      <c r="F93" s="110">
        <v>1</v>
      </c>
      <c r="G93" s="110" t="s">
        <v>255</v>
      </c>
      <c r="H93" s="115">
        <v>800000</v>
      </c>
      <c r="I93" s="165">
        <f t="shared" si="7"/>
        <v>800000</v>
      </c>
      <c r="J93" s="137"/>
    </row>
    <row r="94" spans="1:10" x14ac:dyDescent="0.2">
      <c r="A94" s="140"/>
      <c r="B94" s="140"/>
      <c r="C94" s="205"/>
      <c r="D94" s="112" t="s">
        <v>426</v>
      </c>
      <c r="E94" s="114" t="s">
        <v>149</v>
      </c>
      <c r="F94" s="110">
        <v>1</v>
      </c>
      <c r="G94" s="110" t="s">
        <v>255</v>
      </c>
      <c r="H94" s="115">
        <v>130000</v>
      </c>
      <c r="I94" s="165">
        <f t="shared" si="7"/>
        <v>130000</v>
      </c>
      <c r="J94" s="137"/>
    </row>
    <row r="95" spans="1:10" ht="30" x14ac:dyDescent="0.2">
      <c r="A95" s="140"/>
      <c r="B95" s="140"/>
      <c r="C95" s="205"/>
      <c r="D95" s="112" t="s">
        <v>502</v>
      </c>
      <c r="E95" s="110" t="s">
        <v>153</v>
      </c>
      <c r="F95" s="110">
        <v>1</v>
      </c>
      <c r="G95" s="110" t="s">
        <v>255</v>
      </c>
      <c r="H95" s="115">
        <f>61000 + ((61000*0.07)*4)</f>
        <v>78080</v>
      </c>
      <c r="I95" s="165">
        <f t="shared" si="7"/>
        <v>78080</v>
      </c>
      <c r="J95" s="137"/>
    </row>
    <row r="96" spans="1:10" x14ac:dyDescent="0.2">
      <c r="A96" s="140"/>
      <c r="B96" s="140"/>
      <c r="C96" s="205"/>
      <c r="D96" s="125"/>
      <c r="E96" s="140"/>
      <c r="F96" s="140"/>
      <c r="G96" s="125"/>
      <c r="H96" s="125"/>
      <c r="I96" s="165"/>
      <c r="J96" s="137"/>
    </row>
    <row r="97" spans="1:10" x14ac:dyDescent="0.2">
      <c r="A97" s="160"/>
      <c r="B97" s="171" t="s">
        <v>2</v>
      </c>
      <c r="C97" s="204">
        <v>6</v>
      </c>
      <c r="D97" s="162" t="s">
        <v>360</v>
      </c>
      <c r="E97" s="222"/>
      <c r="F97" s="173"/>
      <c r="G97" s="130"/>
      <c r="H97" s="130"/>
      <c r="I97" s="165"/>
      <c r="J97" s="174">
        <f>SUM(I98:I125)/100000</f>
        <v>156.57184800000002</v>
      </c>
    </row>
    <row r="98" spans="1:10" x14ac:dyDescent="0.2">
      <c r="A98" s="160"/>
      <c r="B98" s="140"/>
      <c r="C98" s="205"/>
      <c r="D98" s="144" t="s">
        <v>316</v>
      </c>
      <c r="E98" s="143" t="s">
        <v>446</v>
      </c>
      <c r="F98" s="110">
        <v>1</v>
      </c>
      <c r="G98" s="110" t="s">
        <v>255</v>
      </c>
      <c r="H98" s="115">
        <f>396000 + ((396000*0.03)*2)</f>
        <v>419760</v>
      </c>
      <c r="I98" s="165">
        <f t="shared" ref="I98:I116" si="8">+H98*F98</f>
        <v>419760</v>
      </c>
      <c r="J98" s="174"/>
    </row>
    <row r="99" spans="1:10" x14ac:dyDescent="0.2">
      <c r="A99" s="160"/>
      <c r="B99" s="140"/>
      <c r="C99" s="205"/>
      <c r="D99" s="144" t="s">
        <v>503</v>
      </c>
      <c r="E99" s="143" t="s">
        <v>163</v>
      </c>
      <c r="F99" s="110">
        <v>1</v>
      </c>
      <c r="G99" s="110" t="s">
        <v>255</v>
      </c>
      <c r="H99" s="117">
        <v>100000</v>
      </c>
      <c r="I99" s="165">
        <f t="shared" si="8"/>
        <v>100000</v>
      </c>
      <c r="J99" s="174"/>
    </row>
    <row r="100" spans="1:10" x14ac:dyDescent="0.2">
      <c r="A100" s="160"/>
      <c r="B100" s="140"/>
      <c r="C100" s="205"/>
      <c r="D100" s="144" t="s">
        <v>427</v>
      </c>
      <c r="E100" s="143" t="s">
        <v>163</v>
      </c>
      <c r="F100" s="110">
        <v>1</v>
      </c>
      <c r="G100" s="110" t="s">
        <v>255</v>
      </c>
      <c r="H100" s="115">
        <f>481000 + ((481000*0.03)*2)</f>
        <v>509860</v>
      </c>
      <c r="I100" s="165">
        <f t="shared" si="8"/>
        <v>509860</v>
      </c>
      <c r="J100" s="174"/>
    </row>
    <row r="101" spans="1:10" x14ac:dyDescent="0.2">
      <c r="A101" s="160"/>
      <c r="B101" s="140"/>
      <c r="C101" s="205"/>
      <c r="D101" s="144" t="s">
        <v>428</v>
      </c>
      <c r="E101" s="143" t="s">
        <v>149</v>
      </c>
      <c r="F101" s="110">
        <v>1</v>
      </c>
      <c r="G101" s="110" t="s">
        <v>255</v>
      </c>
      <c r="H101" s="115">
        <v>130000</v>
      </c>
      <c r="I101" s="165">
        <f t="shared" si="8"/>
        <v>130000</v>
      </c>
      <c r="J101" s="174"/>
    </row>
    <row r="102" spans="1:10" ht="45" x14ac:dyDescent="0.2">
      <c r="A102" s="160"/>
      <c r="B102" s="140"/>
      <c r="C102" s="205"/>
      <c r="D102" s="144" t="s">
        <v>452</v>
      </c>
      <c r="E102" s="143" t="s">
        <v>469</v>
      </c>
      <c r="F102" s="110">
        <v>1</v>
      </c>
      <c r="G102" s="110" t="s">
        <v>255</v>
      </c>
      <c r="H102" s="115">
        <v>8000000</v>
      </c>
      <c r="I102" s="165">
        <f t="shared" si="8"/>
        <v>8000000</v>
      </c>
      <c r="J102" s="174"/>
    </row>
    <row r="103" spans="1:10" x14ac:dyDescent="0.2">
      <c r="A103" s="160"/>
      <c r="B103" s="140"/>
      <c r="C103" s="205"/>
      <c r="D103" s="125"/>
      <c r="E103" s="140"/>
      <c r="F103" s="140"/>
      <c r="G103" s="125"/>
      <c r="H103" s="125"/>
      <c r="I103" s="165"/>
      <c r="J103" s="174"/>
    </row>
    <row r="104" spans="1:10" x14ac:dyDescent="0.2">
      <c r="A104" s="160"/>
      <c r="B104" s="171" t="s">
        <v>3</v>
      </c>
      <c r="C104" s="204" t="s">
        <v>662</v>
      </c>
      <c r="D104" s="162" t="s">
        <v>9</v>
      </c>
      <c r="E104" s="191"/>
      <c r="F104" s="191"/>
      <c r="G104" s="151"/>
      <c r="H104" s="125"/>
      <c r="I104" s="165"/>
      <c r="J104" s="174"/>
    </row>
    <row r="105" spans="1:10" x14ac:dyDescent="0.2">
      <c r="A105" s="160"/>
      <c r="B105" s="140"/>
      <c r="C105" s="205"/>
      <c r="D105" s="112" t="s">
        <v>361</v>
      </c>
      <c r="E105" s="110" t="s">
        <v>471</v>
      </c>
      <c r="F105" s="110">
        <v>1</v>
      </c>
      <c r="G105" s="110" t="s">
        <v>255</v>
      </c>
      <c r="H105" s="115">
        <f>104000 + ((104000*0.03)*2)</f>
        <v>110240</v>
      </c>
      <c r="I105" s="165">
        <f t="shared" si="8"/>
        <v>110240</v>
      </c>
      <c r="J105" s="137"/>
    </row>
    <row r="106" spans="1:10" x14ac:dyDescent="0.2">
      <c r="A106" s="160"/>
      <c r="B106" s="140"/>
      <c r="C106" s="205"/>
      <c r="D106" s="112" t="s">
        <v>430</v>
      </c>
      <c r="E106" s="110" t="s">
        <v>362</v>
      </c>
      <c r="F106" s="110">
        <v>1</v>
      </c>
      <c r="G106" s="110" t="s">
        <v>255</v>
      </c>
      <c r="H106" s="115">
        <v>130000</v>
      </c>
      <c r="I106" s="165">
        <f t="shared" si="8"/>
        <v>130000</v>
      </c>
      <c r="J106" s="137"/>
    </row>
    <row r="107" spans="1:10" ht="30" x14ac:dyDescent="0.2">
      <c r="A107" s="160"/>
      <c r="B107" s="140"/>
      <c r="C107" s="205"/>
      <c r="D107" s="112" t="s">
        <v>459</v>
      </c>
      <c r="E107" s="110" t="s">
        <v>362</v>
      </c>
      <c r="F107" s="110">
        <v>1</v>
      </c>
      <c r="G107" s="110" t="s">
        <v>255</v>
      </c>
      <c r="H107" s="115">
        <f>178000 + ((178000*0.03)*2)</f>
        <v>188680</v>
      </c>
      <c r="I107" s="165">
        <f t="shared" si="8"/>
        <v>188680</v>
      </c>
      <c r="J107" s="137"/>
    </row>
    <row r="108" spans="1:10" x14ac:dyDescent="0.2">
      <c r="A108" s="160"/>
      <c r="B108" s="140"/>
      <c r="C108" s="205"/>
      <c r="D108" s="112" t="s">
        <v>363</v>
      </c>
      <c r="E108" s="114" t="s">
        <v>149</v>
      </c>
      <c r="F108" s="110">
        <v>1</v>
      </c>
      <c r="G108" s="110" t="s">
        <v>255</v>
      </c>
      <c r="H108" s="115">
        <v>50000</v>
      </c>
      <c r="I108" s="165">
        <f t="shared" si="8"/>
        <v>50000</v>
      </c>
      <c r="J108" s="137"/>
    </row>
    <row r="109" spans="1:10" x14ac:dyDescent="0.2">
      <c r="A109" s="160"/>
      <c r="B109" s="140"/>
      <c r="C109" s="205"/>
      <c r="D109" s="112" t="s">
        <v>421</v>
      </c>
      <c r="E109" s="110" t="s">
        <v>163</v>
      </c>
      <c r="F109" s="110">
        <v>1</v>
      </c>
      <c r="G109" s="110" t="s">
        <v>255</v>
      </c>
      <c r="H109" s="115">
        <f>40000 + ((40000*0.07)*4)</f>
        <v>51200</v>
      </c>
      <c r="I109" s="165">
        <f t="shared" si="8"/>
        <v>51200</v>
      </c>
      <c r="J109" s="137"/>
    </row>
    <row r="110" spans="1:10" x14ac:dyDescent="0.2">
      <c r="A110" s="160"/>
      <c r="B110" s="140"/>
      <c r="C110" s="205"/>
      <c r="D110" s="112" t="s">
        <v>431</v>
      </c>
      <c r="E110" s="110" t="s">
        <v>200</v>
      </c>
      <c r="F110" s="110">
        <v>1</v>
      </c>
      <c r="G110" s="110" t="s">
        <v>255</v>
      </c>
      <c r="H110" s="115">
        <f>880000 + ((880000*0.03)*2)</f>
        <v>932800</v>
      </c>
      <c r="I110" s="165">
        <f t="shared" si="8"/>
        <v>932800</v>
      </c>
      <c r="J110" s="137"/>
    </row>
    <row r="111" spans="1:10" x14ac:dyDescent="0.2">
      <c r="A111" s="160"/>
      <c r="B111" s="140"/>
      <c r="C111" s="205"/>
      <c r="D111" s="112" t="s">
        <v>504</v>
      </c>
      <c r="E111" s="110" t="s">
        <v>153</v>
      </c>
      <c r="F111" s="110">
        <v>1</v>
      </c>
      <c r="G111" s="110" t="s">
        <v>255</v>
      </c>
      <c r="H111" s="115">
        <f>78000 + ((78000*0.03)*2)</f>
        <v>82680</v>
      </c>
      <c r="I111" s="165">
        <f t="shared" si="8"/>
        <v>82680</v>
      </c>
      <c r="J111" s="137"/>
    </row>
    <row r="112" spans="1:10" x14ac:dyDescent="0.2">
      <c r="A112" s="160"/>
      <c r="B112" s="140"/>
      <c r="C112" s="205"/>
      <c r="D112" s="112" t="s">
        <v>432</v>
      </c>
      <c r="E112" s="110" t="s">
        <v>159</v>
      </c>
      <c r="F112" s="110">
        <v>1</v>
      </c>
      <c r="G112" s="110" t="s">
        <v>255</v>
      </c>
      <c r="H112" s="115">
        <v>130000</v>
      </c>
      <c r="I112" s="165">
        <f t="shared" si="8"/>
        <v>130000</v>
      </c>
      <c r="J112" s="137"/>
    </row>
    <row r="113" spans="1:10" x14ac:dyDescent="0.2">
      <c r="A113" s="160"/>
      <c r="B113" s="171" t="s">
        <v>10</v>
      </c>
      <c r="C113" s="204" t="s">
        <v>663</v>
      </c>
      <c r="D113" s="162" t="s">
        <v>364</v>
      </c>
      <c r="E113" s="140"/>
      <c r="F113" s="191"/>
      <c r="G113" s="151"/>
      <c r="H113" s="125"/>
      <c r="I113" s="165"/>
      <c r="J113" s="137"/>
    </row>
    <row r="114" spans="1:10" x14ac:dyDescent="0.2">
      <c r="A114" s="160"/>
      <c r="B114" s="140"/>
      <c r="C114" s="205"/>
      <c r="D114" s="144" t="s">
        <v>365</v>
      </c>
      <c r="E114" s="110" t="s">
        <v>445</v>
      </c>
      <c r="F114" s="191">
        <v>1</v>
      </c>
      <c r="G114" s="151" t="s">
        <v>255</v>
      </c>
      <c r="H114" s="115">
        <f>83000 + ((83000*0.03)*2)</f>
        <v>87980</v>
      </c>
      <c r="I114" s="165">
        <f t="shared" si="8"/>
        <v>87980</v>
      </c>
      <c r="J114" s="137"/>
    </row>
    <row r="115" spans="1:10" x14ac:dyDescent="0.2">
      <c r="A115" s="160"/>
      <c r="B115" s="140"/>
      <c r="C115" s="205"/>
      <c r="D115" s="144" t="s">
        <v>369</v>
      </c>
      <c r="E115" s="110" t="s">
        <v>163</v>
      </c>
      <c r="F115" s="191">
        <v>1</v>
      </c>
      <c r="G115" s="151" t="s">
        <v>255</v>
      </c>
      <c r="H115" s="115">
        <f>78280 + ((78280*0.03)*2)</f>
        <v>82976.800000000003</v>
      </c>
      <c r="I115" s="165">
        <f t="shared" si="8"/>
        <v>82976.800000000003</v>
      </c>
      <c r="J115" s="174"/>
    </row>
    <row r="116" spans="1:10" x14ac:dyDescent="0.2">
      <c r="A116" s="160"/>
      <c r="B116" s="140"/>
      <c r="C116" s="205"/>
      <c r="D116" s="144" t="s">
        <v>505</v>
      </c>
      <c r="E116" s="110" t="s">
        <v>163</v>
      </c>
      <c r="F116" s="191">
        <v>1</v>
      </c>
      <c r="G116" s="151" t="s">
        <v>255</v>
      </c>
      <c r="H116" s="115">
        <v>90000</v>
      </c>
      <c r="I116" s="165">
        <f t="shared" si="8"/>
        <v>90000</v>
      </c>
      <c r="J116" s="174"/>
    </row>
    <row r="117" spans="1:10" x14ac:dyDescent="0.2">
      <c r="A117" s="160"/>
      <c r="B117" s="171" t="s">
        <v>11</v>
      </c>
      <c r="C117" s="204" t="s">
        <v>664</v>
      </c>
      <c r="D117" s="162" t="s">
        <v>366</v>
      </c>
      <c r="E117" s="140"/>
      <c r="F117" s="191"/>
      <c r="G117" s="151"/>
      <c r="H117" s="125"/>
      <c r="I117" s="165"/>
      <c r="J117" s="174"/>
    </row>
    <row r="118" spans="1:10" ht="30" x14ac:dyDescent="0.2">
      <c r="A118" s="160"/>
      <c r="B118" s="140"/>
      <c r="C118" s="205"/>
      <c r="D118" s="112" t="s">
        <v>506</v>
      </c>
      <c r="E118" s="110" t="s">
        <v>260</v>
      </c>
      <c r="F118" s="110">
        <v>1</v>
      </c>
      <c r="G118" s="110" t="s">
        <v>255</v>
      </c>
      <c r="H118" s="115">
        <v>1000000</v>
      </c>
      <c r="I118" s="165">
        <f t="shared" ref="I118:I125" si="9">+H118*F118</f>
        <v>1000000</v>
      </c>
      <c r="J118" s="174"/>
    </row>
    <row r="119" spans="1:10" x14ac:dyDescent="0.2">
      <c r="A119" s="160"/>
      <c r="B119" s="140"/>
      <c r="C119" s="205"/>
      <c r="D119" s="112" t="s">
        <v>507</v>
      </c>
      <c r="E119" s="110" t="s">
        <v>335</v>
      </c>
      <c r="F119" s="110">
        <v>1</v>
      </c>
      <c r="G119" s="110" t="s">
        <v>255</v>
      </c>
      <c r="H119" s="115">
        <f>481000 + ((481000*0.03)*2)</f>
        <v>509860</v>
      </c>
      <c r="I119" s="165">
        <f t="shared" si="9"/>
        <v>509860</v>
      </c>
      <c r="J119" s="174"/>
    </row>
    <row r="120" spans="1:10" ht="30" x14ac:dyDescent="0.2">
      <c r="A120" s="160"/>
      <c r="B120" s="140"/>
      <c r="C120" s="205"/>
      <c r="D120" s="112" t="s">
        <v>508</v>
      </c>
      <c r="E120" s="110" t="s">
        <v>153</v>
      </c>
      <c r="F120" s="110">
        <v>1</v>
      </c>
      <c r="G120" s="110" t="s">
        <v>255</v>
      </c>
      <c r="H120" s="115">
        <v>130000</v>
      </c>
      <c r="I120" s="165">
        <f t="shared" si="9"/>
        <v>130000</v>
      </c>
      <c r="J120" s="174"/>
    </row>
    <row r="121" spans="1:10" x14ac:dyDescent="0.2">
      <c r="A121" s="160"/>
      <c r="B121" s="140"/>
      <c r="C121" s="205"/>
      <c r="D121" s="113" t="s">
        <v>429</v>
      </c>
      <c r="E121" s="114" t="s">
        <v>149</v>
      </c>
      <c r="F121" s="114">
        <v>1</v>
      </c>
      <c r="G121" s="114" t="s">
        <v>255</v>
      </c>
      <c r="H121" s="115">
        <v>2000000</v>
      </c>
      <c r="I121" s="165">
        <f t="shared" si="9"/>
        <v>2000000</v>
      </c>
      <c r="J121" s="174"/>
    </row>
    <row r="122" spans="1:10" x14ac:dyDescent="0.2">
      <c r="A122" s="160"/>
      <c r="B122" s="140"/>
      <c r="C122" s="205"/>
      <c r="D122" s="112" t="s">
        <v>368</v>
      </c>
      <c r="E122" s="110" t="s">
        <v>149</v>
      </c>
      <c r="F122" s="110">
        <v>1</v>
      </c>
      <c r="G122" s="110" t="s">
        <v>255</v>
      </c>
      <c r="H122" s="115">
        <f>390000 + ((390000*0.03)*2)</f>
        <v>413400</v>
      </c>
      <c r="I122" s="165">
        <f t="shared" si="9"/>
        <v>413400</v>
      </c>
      <c r="J122" s="174"/>
    </row>
    <row r="123" spans="1:10" x14ac:dyDescent="0.2">
      <c r="A123" s="160"/>
      <c r="B123" s="140"/>
      <c r="C123" s="205"/>
      <c r="D123" s="112" t="s">
        <v>367</v>
      </c>
      <c r="E123" s="110" t="s">
        <v>470</v>
      </c>
      <c r="F123" s="110">
        <v>2</v>
      </c>
      <c r="G123" s="110" t="s">
        <v>375</v>
      </c>
      <c r="H123" s="115">
        <f>145000 + ((145000*0.03)*2)</f>
        <v>153700</v>
      </c>
      <c r="I123" s="165">
        <f t="shared" si="9"/>
        <v>307400</v>
      </c>
      <c r="J123" s="174"/>
    </row>
    <row r="124" spans="1:10" x14ac:dyDescent="0.2">
      <c r="A124" s="160"/>
      <c r="B124" s="140"/>
      <c r="C124" s="205"/>
      <c r="D124" s="112" t="s">
        <v>509</v>
      </c>
      <c r="E124" s="110" t="s">
        <v>149</v>
      </c>
      <c r="F124" s="110">
        <v>6</v>
      </c>
      <c r="G124" s="110" t="s">
        <v>375</v>
      </c>
      <c r="H124" s="115">
        <f>19600 + ((19600*0.07)*4)</f>
        <v>25088</v>
      </c>
      <c r="I124" s="165">
        <f t="shared" si="9"/>
        <v>150528</v>
      </c>
      <c r="J124" s="174"/>
    </row>
    <row r="125" spans="1:10" x14ac:dyDescent="0.2">
      <c r="A125" s="160"/>
      <c r="B125" s="140"/>
      <c r="C125" s="205"/>
      <c r="D125" s="112" t="s">
        <v>351</v>
      </c>
      <c r="E125" s="110" t="s">
        <v>149</v>
      </c>
      <c r="F125" s="114">
        <v>1</v>
      </c>
      <c r="G125" s="110" t="s">
        <v>254</v>
      </c>
      <c r="H125" s="115">
        <v>49820</v>
      </c>
      <c r="I125" s="165">
        <f t="shared" si="9"/>
        <v>49820</v>
      </c>
      <c r="J125" s="174"/>
    </row>
    <row r="126" spans="1:10" x14ac:dyDescent="0.2">
      <c r="A126" s="160"/>
      <c r="B126" s="171"/>
      <c r="C126" s="204"/>
      <c r="D126" s="162"/>
      <c r="E126" s="160"/>
      <c r="F126" s="140"/>
      <c r="G126" s="140"/>
      <c r="H126" s="140"/>
      <c r="I126" s="192"/>
      <c r="J126" s="169"/>
    </row>
    <row r="127" spans="1:10" x14ac:dyDescent="0.2">
      <c r="A127" s="160">
        <v>781</v>
      </c>
      <c r="B127" s="171" t="s">
        <v>2</v>
      </c>
      <c r="C127" s="204">
        <v>7</v>
      </c>
      <c r="D127" s="162" t="s">
        <v>221</v>
      </c>
      <c r="E127" s="160"/>
      <c r="F127" s="140"/>
      <c r="G127" s="140"/>
      <c r="H127" s="140"/>
      <c r="I127" s="165"/>
      <c r="J127" s="172">
        <f>SUM(I128:I149)/100000</f>
        <v>227.5</v>
      </c>
    </row>
    <row r="128" spans="1:10" x14ac:dyDescent="0.2">
      <c r="A128" s="140"/>
      <c r="B128" s="139" t="s">
        <v>5</v>
      </c>
      <c r="C128" s="204"/>
      <c r="D128" s="138" t="s">
        <v>278</v>
      </c>
      <c r="E128" s="150" t="s">
        <v>163</v>
      </c>
      <c r="F128" s="150">
        <v>1</v>
      </c>
      <c r="G128" s="150" t="s">
        <v>255</v>
      </c>
      <c r="H128" s="138">
        <v>150000</v>
      </c>
      <c r="I128" s="165">
        <f>+H128*F128</f>
        <v>150000</v>
      </c>
      <c r="J128" s="137"/>
    </row>
    <row r="129" spans="1:10" x14ac:dyDescent="0.2">
      <c r="A129" s="140"/>
      <c r="B129" s="139" t="s">
        <v>5</v>
      </c>
      <c r="C129" s="217"/>
      <c r="D129" s="138" t="s">
        <v>162</v>
      </c>
      <c r="E129" s="150" t="s">
        <v>163</v>
      </c>
      <c r="F129" s="150">
        <v>1</v>
      </c>
      <c r="G129" s="150" t="s">
        <v>255</v>
      </c>
      <c r="H129" s="138">
        <v>700000</v>
      </c>
      <c r="I129" s="165">
        <f t="shared" ref="I129:I149" si="10">+H129*F129</f>
        <v>700000</v>
      </c>
      <c r="J129" s="137"/>
    </row>
    <row r="130" spans="1:10" x14ac:dyDescent="0.2">
      <c r="A130" s="140"/>
      <c r="B130" s="139" t="s">
        <v>5</v>
      </c>
      <c r="C130" s="217"/>
      <c r="D130" s="138" t="s">
        <v>261</v>
      </c>
      <c r="E130" s="150" t="s">
        <v>163</v>
      </c>
      <c r="F130" s="150">
        <v>1</v>
      </c>
      <c r="G130" s="150" t="s">
        <v>255</v>
      </c>
      <c r="H130" s="138">
        <v>250000</v>
      </c>
      <c r="I130" s="165">
        <f t="shared" si="10"/>
        <v>250000</v>
      </c>
      <c r="J130" s="137"/>
    </row>
    <row r="131" spans="1:10" x14ac:dyDescent="0.2">
      <c r="A131" s="140"/>
      <c r="B131" s="139" t="s">
        <v>5</v>
      </c>
      <c r="C131" s="217"/>
      <c r="D131" s="138" t="s">
        <v>222</v>
      </c>
      <c r="E131" s="150" t="s">
        <v>260</v>
      </c>
      <c r="F131" s="150">
        <v>2</v>
      </c>
      <c r="G131" s="150" t="s">
        <v>375</v>
      </c>
      <c r="H131" s="138">
        <v>300000</v>
      </c>
      <c r="I131" s="165">
        <f t="shared" si="10"/>
        <v>600000</v>
      </c>
      <c r="J131" s="137"/>
    </row>
    <row r="132" spans="1:10" x14ac:dyDescent="0.2">
      <c r="A132" s="140"/>
      <c r="B132" s="139" t="s">
        <v>5</v>
      </c>
      <c r="C132" s="217"/>
      <c r="D132" s="138" t="s">
        <v>164</v>
      </c>
      <c r="E132" s="150" t="s">
        <v>260</v>
      </c>
      <c r="F132" s="150">
        <v>2</v>
      </c>
      <c r="G132" s="150" t="s">
        <v>375</v>
      </c>
      <c r="H132" s="138">
        <v>600000</v>
      </c>
      <c r="I132" s="165">
        <f t="shared" si="10"/>
        <v>1200000</v>
      </c>
      <c r="J132" s="137"/>
    </row>
    <row r="133" spans="1:10" x14ac:dyDescent="0.2">
      <c r="A133" s="140"/>
      <c r="B133" s="139" t="s">
        <v>5</v>
      </c>
      <c r="C133" s="217"/>
      <c r="D133" s="138" t="s">
        <v>165</v>
      </c>
      <c r="E133" s="150" t="s">
        <v>153</v>
      </c>
      <c r="F133" s="150">
        <v>1</v>
      </c>
      <c r="G133" s="150" t="s">
        <v>255</v>
      </c>
      <c r="H133" s="138">
        <v>150000</v>
      </c>
      <c r="I133" s="165">
        <f t="shared" si="10"/>
        <v>150000</v>
      </c>
      <c r="J133" s="137"/>
    </row>
    <row r="134" spans="1:10" x14ac:dyDescent="0.2">
      <c r="A134" s="140"/>
      <c r="B134" s="139" t="s">
        <v>5</v>
      </c>
      <c r="C134" s="217"/>
      <c r="D134" s="138" t="s">
        <v>216</v>
      </c>
      <c r="E134" s="150" t="s">
        <v>244</v>
      </c>
      <c r="F134" s="150">
        <v>2</v>
      </c>
      <c r="G134" s="150" t="s">
        <v>375</v>
      </c>
      <c r="H134" s="138">
        <v>400000</v>
      </c>
      <c r="I134" s="165">
        <f t="shared" si="10"/>
        <v>800000</v>
      </c>
      <c r="J134" s="137"/>
    </row>
    <row r="135" spans="1:10" x14ac:dyDescent="0.2">
      <c r="A135" s="140"/>
      <c r="B135" s="139" t="s">
        <v>5</v>
      </c>
      <c r="C135" s="217"/>
      <c r="D135" s="138" t="s">
        <v>215</v>
      </c>
      <c r="E135" s="150" t="s">
        <v>335</v>
      </c>
      <c r="F135" s="150">
        <v>1</v>
      </c>
      <c r="G135" s="150" t="s">
        <v>255</v>
      </c>
      <c r="H135" s="138">
        <v>2000000</v>
      </c>
      <c r="I135" s="165">
        <f t="shared" si="10"/>
        <v>2000000</v>
      </c>
      <c r="J135" s="137"/>
    </row>
    <row r="136" spans="1:10" x14ac:dyDescent="0.2">
      <c r="A136" s="140"/>
      <c r="B136" s="139"/>
      <c r="C136" s="217"/>
      <c r="D136" s="138" t="s">
        <v>279</v>
      </c>
      <c r="E136" s="150" t="s">
        <v>335</v>
      </c>
      <c r="F136" s="150">
        <v>1</v>
      </c>
      <c r="G136" s="150" t="s">
        <v>255</v>
      </c>
      <c r="H136" s="138">
        <v>2000000</v>
      </c>
      <c r="I136" s="165">
        <f t="shared" si="10"/>
        <v>2000000</v>
      </c>
      <c r="J136" s="137"/>
    </row>
    <row r="137" spans="1:10" ht="18.75" customHeight="1" x14ac:dyDescent="0.2">
      <c r="A137" s="140"/>
      <c r="B137" s="139" t="s">
        <v>5</v>
      </c>
      <c r="C137" s="217"/>
      <c r="D137" s="138" t="s">
        <v>217</v>
      </c>
      <c r="E137" s="150" t="s">
        <v>197</v>
      </c>
      <c r="F137" s="150">
        <v>1</v>
      </c>
      <c r="G137" s="150" t="s">
        <v>255</v>
      </c>
      <c r="H137" s="138">
        <v>100000</v>
      </c>
      <c r="I137" s="165">
        <f t="shared" si="10"/>
        <v>100000</v>
      </c>
      <c r="J137" s="137"/>
    </row>
    <row r="138" spans="1:10" ht="32.25" customHeight="1" x14ac:dyDescent="0.2">
      <c r="A138" s="140"/>
      <c r="B138" s="139" t="s">
        <v>5</v>
      </c>
      <c r="C138" s="217"/>
      <c r="D138" s="138" t="s">
        <v>262</v>
      </c>
      <c r="E138" s="150" t="s">
        <v>149</v>
      </c>
      <c r="F138" s="150">
        <v>1</v>
      </c>
      <c r="G138" s="150" t="s">
        <v>254</v>
      </c>
      <c r="H138" s="138">
        <v>800000</v>
      </c>
      <c r="I138" s="165">
        <f t="shared" si="10"/>
        <v>800000</v>
      </c>
      <c r="J138" s="137"/>
    </row>
    <row r="139" spans="1:10" x14ac:dyDescent="0.2">
      <c r="A139" s="140"/>
      <c r="B139" s="139" t="s">
        <v>5</v>
      </c>
      <c r="C139" s="217"/>
      <c r="D139" s="138" t="s">
        <v>223</v>
      </c>
      <c r="E139" s="150" t="s">
        <v>156</v>
      </c>
      <c r="F139" s="150">
        <v>2</v>
      </c>
      <c r="G139" s="150" t="s">
        <v>375</v>
      </c>
      <c r="H139" s="138">
        <v>1000000</v>
      </c>
      <c r="I139" s="165">
        <f t="shared" si="10"/>
        <v>2000000</v>
      </c>
      <c r="J139" s="137"/>
    </row>
    <row r="140" spans="1:10" x14ac:dyDescent="0.2">
      <c r="A140" s="140"/>
      <c r="B140" s="139"/>
      <c r="C140" s="217"/>
      <c r="D140" s="138" t="s">
        <v>308</v>
      </c>
      <c r="E140" s="150" t="s">
        <v>307</v>
      </c>
      <c r="F140" s="150">
        <v>1</v>
      </c>
      <c r="G140" s="150" t="s">
        <v>375</v>
      </c>
      <c r="H140" s="138">
        <v>1200000</v>
      </c>
      <c r="I140" s="165">
        <f t="shared" si="10"/>
        <v>1200000</v>
      </c>
      <c r="J140" s="137"/>
    </row>
    <row r="141" spans="1:10" x14ac:dyDescent="0.2">
      <c r="A141" s="140"/>
      <c r="B141" s="139" t="s">
        <v>5</v>
      </c>
      <c r="C141" s="217"/>
      <c r="D141" s="138" t="s">
        <v>263</v>
      </c>
      <c r="E141" s="150" t="s">
        <v>218</v>
      </c>
      <c r="F141" s="150">
        <v>2</v>
      </c>
      <c r="G141" s="150" t="s">
        <v>375</v>
      </c>
      <c r="H141" s="138">
        <v>50000</v>
      </c>
      <c r="I141" s="165">
        <f t="shared" si="10"/>
        <v>100000</v>
      </c>
      <c r="J141" s="137"/>
    </row>
    <row r="142" spans="1:10" x14ac:dyDescent="0.2">
      <c r="A142" s="140"/>
      <c r="B142" s="139" t="s">
        <v>5</v>
      </c>
      <c r="C142" s="217"/>
      <c r="D142" s="138" t="s">
        <v>264</v>
      </c>
      <c r="E142" s="150" t="s">
        <v>201</v>
      </c>
      <c r="F142" s="150">
        <v>1</v>
      </c>
      <c r="G142" s="150" t="s">
        <v>255</v>
      </c>
      <c r="H142" s="138">
        <v>50000</v>
      </c>
      <c r="I142" s="165">
        <f t="shared" si="10"/>
        <v>50000</v>
      </c>
      <c r="J142" s="137"/>
    </row>
    <row r="143" spans="1:10" x14ac:dyDescent="0.2">
      <c r="A143" s="140"/>
      <c r="B143" s="139" t="s">
        <v>5</v>
      </c>
      <c r="C143" s="217"/>
      <c r="D143" s="138" t="s">
        <v>256</v>
      </c>
      <c r="E143" s="150" t="s">
        <v>161</v>
      </c>
      <c r="F143" s="150">
        <v>1</v>
      </c>
      <c r="G143" s="150" t="s">
        <v>255</v>
      </c>
      <c r="H143" s="138">
        <v>100000</v>
      </c>
      <c r="I143" s="165">
        <f t="shared" si="10"/>
        <v>100000</v>
      </c>
      <c r="J143" s="137"/>
    </row>
    <row r="144" spans="1:10" x14ac:dyDescent="0.2">
      <c r="A144" s="140"/>
      <c r="B144" s="139" t="s">
        <v>5</v>
      </c>
      <c r="C144" s="217"/>
      <c r="D144" s="138" t="s">
        <v>202</v>
      </c>
      <c r="E144" s="150" t="s">
        <v>149</v>
      </c>
      <c r="F144" s="150">
        <v>1</v>
      </c>
      <c r="G144" s="150" t="s">
        <v>254</v>
      </c>
      <c r="H144" s="138">
        <v>150000</v>
      </c>
      <c r="I144" s="165">
        <f t="shared" si="10"/>
        <v>150000</v>
      </c>
      <c r="J144" s="137"/>
    </row>
    <row r="145" spans="1:10" x14ac:dyDescent="0.2">
      <c r="A145" s="140"/>
      <c r="B145" s="139"/>
      <c r="C145" s="217"/>
      <c r="D145" s="138" t="s">
        <v>257</v>
      </c>
      <c r="E145" s="150" t="s">
        <v>149</v>
      </c>
      <c r="F145" s="150">
        <v>1</v>
      </c>
      <c r="G145" s="150" t="s">
        <v>254</v>
      </c>
      <c r="H145" s="138">
        <v>500000</v>
      </c>
      <c r="I145" s="165">
        <f t="shared" si="10"/>
        <v>500000</v>
      </c>
      <c r="J145" s="137"/>
    </row>
    <row r="146" spans="1:10" ht="15.75" customHeight="1" x14ac:dyDescent="0.2">
      <c r="A146" s="140"/>
      <c r="B146" s="139" t="s">
        <v>5</v>
      </c>
      <c r="C146" s="217"/>
      <c r="D146" s="138" t="s">
        <v>258</v>
      </c>
      <c r="E146" s="150" t="s">
        <v>230</v>
      </c>
      <c r="F146" s="150">
        <v>1</v>
      </c>
      <c r="G146" s="150" t="s">
        <v>283</v>
      </c>
      <c r="H146" s="138">
        <v>400000</v>
      </c>
      <c r="I146" s="165">
        <f t="shared" si="10"/>
        <v>400000</v>
      </c>
      <c r="J146" s="137"/>
    </row>
    <row r="147" spans="1:10" x14ac:dyDescent="0.2">
      <c r="A147" s="140"/>
      <c r="B147" s="139" t="s">
        <v>5</v>
      </c>
      <c r="C147" s="217"/>
      <c r="D147" s="138" t="s">
        <v>219</v>
      </c>
      <c r="E147" s="150" t="s">
        <v>155</v>
      </c>
      <c r="F147" s="150">
        <v>1</v>
      </c>
      <c r="G147" s="150" t="s">
        <v>283</v>
      </c>
      <c r="H147" s="138">
        <v>200000</v>
      </c>
      <c r="I147" s="165">
        <f t="shared" si="10"/>
        <v>200000</v>
      </c>
      <c r="J147" s="137"/>
    </row>
    <row r="148" spans="1:10" x14ac:dyDescent="0.2">
      <c r="A148" s="140"/>
      <c r="B148" s="139" t="s">
        <v>5</v>
      </c>
      <c r="C148" s="217"/>
      <c r="D148" s="138" t="s">
        <v>220</v>
      </c>
      <c r="E148" s="150" t="s">
        <v>155</v>
      </c>
      <c r="F148" s="150">
        <v>1</v>
      </c>
      <c r="G148" s="150" t="s">
        <v>283</v>
      </c>
      <c r="H148" s="138">
        <v>300000</v>
      </c>
      <c r="I148" s="165">
        <f t="shared" si="10"/>
        <v>300000</v>
      </c>
      <c r="J148" s="137"/>
    </row>
    <row r="149" spans="1:10" x14ac:dyDescent="0.2">
      <c r="A149" s="140"/>
      <c r="B149" s="139" t="s">
        <v>5</v>
      </c>
      <c r="C149" s="217"/>
      <c r="D149" s="138" t="s">
        <v>606</v>
      </c>
      <c r="E149" s="150" t="s">
        <v>607</v>
      </c>
      <c r="F149" s="150">
        <v>1</v>
      </c>
      <c r="G149" s="150" t="s">
        <v>283</v>
      </c>
      <c r="H149" s="138">
        <v>9000000</v>
      </c>
      <c r="I149" s="165">
        <f t="shared" si="10"/>
        <v>9000000</v>
      </c>
      <c r="J149" s="137"/>
    </row>
    <row r="150" spans="1:10" x14ac:dyDescent="0.2">
      <c r="A150" s="140"/>
      <c r="B150" s="140"/>
      <c r="C150" s="217"/>
      <c r="D150" s="125"/>
      <c r="E150" s="140"/>
      <c r="F150" s="140"/>
      <c r="G150" s="125"/>
      <c r="H150" s="125"/>
      <c r="I150" s="165"/>
      <c r="J150" s="137"/>
    </row>
    <row r="151" spans="1:10" x14ac:dyDescent="0.2">
      <c r="A151" s="135">
        <v>802</v>
      </c>
      <c r="B151" s="167" t="s">
        <v>4</v>
      </c>
      <c r="C151" s="205">
        <v>8</v>
      </c>
      <c r="D151" s="162" t="s">
        <v>12</v>
      </c>
      <c r="E151" s="160"/>
      <c r="F151" s="140" t="s">
        <v>57</v>
      </c>
      <c r="G151" s="140"/>
      <c r="H151" s="125"/>
      <c r="I151" s="165"/>
      <c r="J151" s="174">
        <f>SUM(I153:I203)/100000</f>
        <v>249.94974999999999</v>
      </c>
    </row>
    <row r="152" spans="1:10" x14ac:dyDescent="0.2">
      <c r="A152" s="135">
        <v>802</v>
      </c>
      <c r="B152" s="167" t="s">
        <v>2</v>
      </c>
      <c r="C152" s="203" t="s">
        <v>665</v>
      </c>
      <c r="D152" s="162" t="s">
        <v>158</v>
      </c>
      <c r="E152" s="140"/>
      <c r="F152" s="140"/>
      <c r="G152" s="125"/>
      <c r="H152" s="125"/>
      <c r="I152" s="165"/>
      <c r="J152" s="137"/>
    </row>
    <row r="153" spans="1:10" ht="30" x14ac:dyDescent="0.2">
      <c r="A153" s="140"/>
      <c r="B153" s="151"/>
      <c r="C153" s="203"/>
      <c r="D153" s="112" t="s">
        <v>510</v>
      </c>
      <c r="E153" s="110" t="s">
        <v>472</v>
      </c>
      <c r="F153" s="110">
        <v>2</v>
      </c>
      <c r="G153" s="110" t="s">
        <v>375</v>
      </c>
      <c r="H153" s="115">
        <f>14700 + ((14700*0.03)*2)</f>
        <v>15582</v>
      </c>
      <c r="I153" s="165">
        <f t="shared" ref="I153:I162" si="11">+H153*F153</f>
        <v>31164</v>
      </c>
      <c r="J153" s="137"/>
    </row>
    <row r="154" spans="1:10" ht="45" x14ac:dyDescent="0.2">
      <c r="A154" s="140"/>
      <c r="B154" s="151"/>
      <c r="C154" s="202"/>
      <c r="D154" s="112" t="s">
        <v>511</v>
      </c>
      <c r="E154" s="110" t="s">
        <v>159</v>
      </c>
      <c r="F154" s="110">
        <v>2</v>
      </c>
      <c r="G154" s="110" t="s">
        <v>375</v>
      </c>
      <c r="H154" s="115">
        <f>119000 + ((119000*0.03)*2)</f>
        <v>126140</v>
      </c>
      <c r="I154" s="165">
        <f t="shared" si="11"/>
        <v>252280</v>
      </c>
      <c r="J154" s="137"/>
    </row>
    <row r="155" spans="1:10" x14ac:dyDescent="0.2">
      <c r="A155" s="140"/>
      <c r="B155" s="151"/>
      <c r="C155" s="202"/>
      <c r="D155" s="112" t="s">
        <v>512</v>
      </c>
      <c r="E155" s="110" t="s">
        <v>353</v>
      </c>
      <c r="F155" s="110">
        <v>2</v>
      </c>
      <c r="G155" s="110" t="s">
        <v>375</v>
      </c>
      <c r="H155" s="115">
        <f>80700 + ((80700*0.03)*2)</f>
        <v>85542</v>
      </c>
      <c r="I155" s="165">
        <f t="shared" si="11"/>
        <v>171084</v>
      </c>
      <c r="J155" s="137"/>
    </row>
    <row r="156" spans="1:10" x14ac:dyDescent="0.2">
      <c r="A156" s="140"/>
      <c r="B156" s="151"/>
      <c r="C156" s="202"/>
      <c r="D156" s="112" t="s">
        <v>513</v>
      </c>
      <c r="E156" s="110" t="s">
        <v>353</v>
      </c>
      <c r="F156" s="110">
        <v>2</v>
      </c>
      <c r="G156" s="110" t="s">
        <v>375</v>
      </c>
      <c r="H156" s="115">
        <f>80700 + ((80700*0.03)*2)</f>
        <v>85542</v>
      </c>
      <c r="I156" s="165">
        <f t="shared" si="11"/>
        <v>171084</v>
      </c>
      <c r="J156" s="137"/>
    </row>
    <row r="157" spans="1:10" x14ac:dyDescent="0.2">
      <c r="A157" s="140"/>
      <c r="B157" s="151"/>
      <c r="C157" s="202"/>
      <c r="D157" s="112" t="s">
        <v>514</v>
      </c>
      <c r="E157" s="110" t="s">
        <v>156</v>
      </c>
      <c r="F157" s="110">
        <v>1</v>
      </c>
      <c r="G157" s="110" t="s">
        <v>255</v>
      </c>
      <c r="H157" s="115">
        <f>375000 + ((375000*0.03)*2)</f>
        <v>397500</v>
      </c>
      <c r="I157" s="165">
        <f t="shared" si="11"/>
        <v>397500</v>
      </c>
      <c r="J157" s="137"/>
    </row>
    <row r="158" spans="1:10" x14ac:dyDescent="0.2">
      <c r="A158" s="140"/>
      <c r="B158" s="151"/>
      <c r="C158" s="202"/>
      <c r="D158" s="112" t="s">
        <v>515</v>
      </c>
      <c r="E158" s="110" t="s">
        <v>348</v>
      </c>
      <c r="F158" s="110">
        <v>1</v>
      </c>
      <c r="G158" s="110" t="s">
        <v>255</v>
      </c>
      <c r="H158" s="115">
        <f>137350 + ((137350*0.03)*2)</f>
        <v>145591</v>
      </c>
      <c r="I158" s="165">
        <f t="shared" si="11"/>
        <v>145591</v>
      </c>
      <c r="J158" s="137"/>
    </row>
    <row r="159" spans="1:10" x14ac:dyDescent="0.2">
      <c r="A159" s="140"/>
      <c r="B159" s="151"/>
      <c r="C159" s="202"/>
      <c r="D159" s="112" t="s">
        <v>352</v>
      </c>
      <c r="E159" s="110" t="s">
        <v>205</v>
      </c>
      <c r="F159" s="110">
        <v>1</v>
      </c>
      <c r="G159" s="110" t="s">
        <v>255</v>
      </c>
      <c r="H159" s="115">
        <v>1000000</v>
      </c>
      <c r="I159" s="165">
        <f t="shared" si="11"/>
        <v>1000000</v>
      </c>
      <c r="J159" s="137"/>
    </row>
    <row r="160" spans="1:10" x14ac:dyDescent="0.2">
      <c r="A160" s="140"/>
      <c r="B160" s="151"/>
      <c r="C160" s="202"/>
      <c r="D160" s="112" t="s">
        <v>323</v>
      </c>
      <c r="E160" s="110" t="s">
        <v>205</v>
      </c>
      <c r="F160" s="110">
        <v>1</v>
      </c>
      <c r="G160" s="110" t="s">
        <v>255</v>
      </c>
      <c r="H160" s="115">
        <v>1000000</v>
      </c>
      <c r="I160" s="165">
        <f t="shared" si="11"/>
        <v>1000000</v>
      </c>
      <c r="J160" s="137"/>
    </row>
    <row r="161" spans="1:10" x14ac:dyDescent="0.2">
      <c r="A161" s="140"/>
      <c r="B161" s="151"/>
      <c r="C161" s="202"/>
      <c r="D161" s="112" t="s">
        <v>460</v>
      </c>
      <c r="E161" s="110" t="s">
        <v>260</v>
      </c>
      <c r="F161" s="110">
        <v>2</v>
      </c>
      <c r="G161" s="110" t="s">
        <v>375</v>
      </c>
      <c r="H161" s="115">
        <f>375000 + ((375000*0.03)*2)</f>
        <v>397500</v>
      </c>
      <c r="I161" s="165">
        <f t="shared" si="11"/>
        <v>795000</v>
      </c>
      <c r="J161" s="137"/>
    </row>
    <row r="162" spans="1:10" x14ac:dyDescent="0.2">
      <c r="A162" s="140"/>
      <c r="B162" s="151"/>
      <c r="C162" s="202"/>
      <c r="D162" s="112" t="s">
        <v>516</v>
      </c>
      <c r="E162" s="110" t="s">
        <v>149</v>
      </c>
      <c r="F162" s="110">
        <v>1</v>
      </c>
      <c r="G162" s="110" t="s">
        <v>254</v>
      </c>
      <c r="H162" s="115">
        <f>248000 + ((248000*0.07)*4)</f>
        <v>317440</v>
      </c>
      <c r="I162" s="165">
        <f t="shared" si="11"/>
        <v>317440</v>
      </c>
      <c r="J162" s="137"/>
    </row>
    <row r="163" spans="1:10" x14ac:dyDescent="0.2">
      <c r="A163" s="140"/>
      <c r="B163" s="140"/>
      <c r="C163" s="202"/>
      <c r="D163" s="125"/>
      <c r="E163" s="140"/>
      <c r="F163" s="140"/>
      <c r="G163" s="125"/>
      <c r="H163" s="125"/>
      <c r="I163" s="165"/>
      <c r="J163" s="137"/>
    </row>
    <row r="164" spans="1:10" x14ac:dyDescent="0.2">
      <c r="A164" s="135">
        <v>802</v>
      </c>
      <c r="B164" s="167" t="s">
        <v>3</v>
      </c>
      <c r="C164" s="205" t="s">
        <v>666</v>
      </c>
      <c r="D164" s="161" t="s">
        <v>590</v>
      </c>
      <c r="E164" s="140"/>
      <c r="F164" s="140"/>
      <c r="G164" s="125"/>
      <c r="H164" s="125"/>
      <c r="I164" s="165"/>
      <c r="J164" s="137"/>
    </row>
    <row r="165" spans="1:10" x14ac:dyDescent="0.2">
      <c r="A165" s="140"/>
      <c r="B165" s="151"/>
      <c r="C165" s="203"/>
      <c r="D165" s="112" t="s">
        <v>359</v>
      </c>
      <c r="E165" s="110" t="s">
        <v>205</v>
      </c>
      <c r="F165" s="110">
        <v>1</v>
      </c>
      <c r="G165" s="110" t="s">
        <v>255</v>
      </c>
      <c r="H165" s="118">
        <v>1100000</v>
      </c>
      <c r="I165" s="165">
        <f t="shared" ref="I165:I176" si="12">+H165*F165</f>
        <v>1100000</v>
      </c>
      <c r="J165" s="137"/>
    </row>
    <row r="166" spans="1:10" x14ac:dyDescent="0.2">
      <c r="A166" s="140"/>
      <c r="B166" s="151"/>
      <c r="C166" s="202"/>
      <c r="D166" s="112" t="s">
        <v>358</v>
      </c>
      <c r="E166" s="110" t="s">
        <v>205</v>
      </c>
      <c r="F166" s="110">
        <v>1</v>
      </c>
      <c r="G166" s="110" t="s">
        <v>255</v>
      </c>
      <c r="H166" s="118">
        <v>1100000</v>
      </c>
      <c r="I166" s="165">
        <f t="shared" si="12"/>
        <v>1100000</v>
      </c>
      <c r="J166" s="137"/>
    </row>
    <row r="167" spans="1:10" x14ac:dyDescent="0.2">
      <c r="A167" s="140"/>
      <c r="B167" s="151"/>
      <c r="C167" s="202"/>
      <c r="D167" s="112" t="s">
        <v>324</v>
      </c>
      <c r="E167" s="110" t="s">
        <v>205</v>
      </c>
      <c r="F167" s="110">
        <v>1</v>
      </c>
      <c r="G167" s="110" t="s">
        <v>375</v>
      </c>
      <c r="H167" s="118">
        <v>1000000</v>
      </c>
      <c r="I167" s="165">
        <f t="shared" si="12"/>
        <v>1000000</v>
      </c>
      <c r="J167" s="137"/>
    </row>
    <row r="168" spans="1:10" x14ac:dyDescent="0.2">
      <c r="A168" s="140"/>
      <c r="B168" s="151"/>
      <c r="C168" s="202"/>
      <c r="D168" s="112" t="s">
        <v>325</v>
      </c>
      <c r="E168" s="110" t="s">
        <v>326</v>
      </c>
      <c r="F168" s="110">
        <v>1</v>
      </c>
      <c r="G168" s="110" t="s">
        <v>255</v>
      </c>
      <c r="H168" s="118">
        <v>1200000</v>
      </c>
      <c r="I168" s="165">
        <f t="shared" si="12"/>
        <v>1200000</v>
      </c>
      <c r="J168" s="137"/>
    </row>
    <row r="169" spans="1:10" x14ac:dyDescent="0.2">
      <c r="A169" s="140"/>
      <c r="B169" s="151"/>
      <c r="C169" s="202"/>
      <c r="D169" s="112" t="s">
        <v>389</v>
      </c>
      <c r="E169" s="110" t="s">
        <v>205</v>
      </c>
      <c r="F169" s="110">
        <v>1</v>
      </c>
      <c r="G169" s="110" t="s">
        <v>255</v>
      </c>
      <c r="H169" s="118">
        <f>768000 + ((768000*0.03)*2)</f>
        <v>814080</v>
      </c>
      <c r="I169" s="165">
        <f t="shared" si="12"/>
        <v>814080</v>
      </c>
      <c r="J169" s="137"/>
    </row>
    <row r="170" spans="1:10" x14ac:dyDescent="0.2">
      <c r="A170" s="140"/>
      <c r="B170" s="151"/>
      <c r="C170" s="202"/>
      <c r="D170" s="112" t="s">
        <v>354</v>
      </c>
      <c r="E170" s="143" t="s">
        <v>152</v>
      </c>
      <c r="F170" s="143">
        <v>1</v>
      </c>
      <c r="G170" s="110" t="s">
        <v>255</v>
      </c>
      <c r="H170" s="118">
        <f>600000 + ((600000*0.03)*2)</f>
        <v>636000</v>
      </c>
      <c r="I170" s="165">
        <f t="shared" si="12"/>
        <v>636000</v>
      </c>
      <c r="J170" s="137"/>
    </row>
    <row r="171" spans="1:10" x14ac:dyDescent="0.2">
      <c r="A171" s="140"/>
      <c r="B171" s="151"/>
      <c r="C171" s="202"/>
      <c r="D171" s="112" t="s">
        <v>517</v>
      </c>
      <c r="E171" s="143" t="s">
        <v>152</v>
      </c>
      <c r="F171" s="143">
        <v>1</v>
      </c>
      <c r="G171" s="110" t="s">
        <v>255</v>
      </c>
      <c r="H171" s="118">
        <v>300000</v>
      </c>
      <c r="I171" s="165">
        <f t="shared" si="12"/>
        <v>300000</v>
      </c>
      <c r="J171" s="137"/>
    </row>
    <row r="172" spans="1:10" x14ac:dyDescent="0.2">
      <c r="A172" s="140"/>
      <c r="B172" s="151"/>
      <c r="C172" s="202"/>
      <c r="D172" s="112" t="s">
        <v>355</v>
      </c>
      <c r="E172" s="143" t="s">
        <v>152</v>
      </c>
      <c r="F172" s="143">
        <v>1</v>
      </c>
      <c r="G172" s="110" t="s">
        <v>255</v>
      </c>
      <c r="H172" s="118">
        <v>150000</v>
      </c>
      <c r="I172" s="165">
        <f t="shared" si="12"/>
        <v>150000</v>
      </c>
      <c r="J172" s="137"/>
    </row>
    <row r="173" spans="1:10" x14ac:dyDescent="0.2">
      <c r="A173" s="140"/>
      <c r="B173" s="151"/>
      <c r="C173" s="202"/>
      <c r="D173" s="112" t="s">
        <v>354</v>
      </c>
      <c r="E173" s="143" t="s">
        <v>150</v>
      </c>
      <c r="F173" s="143">
        <v>1</v>
      </c>
      <c r="G173" s="110" t="s">
        <v>375</v>
      </c>
      <c r="H173" s="118">
        <f>519000 + ((519000*0.07)*4)</f>
        <v>664320</v>
      </c>
      <c r="I173" s="165">
        <f t="shared" si="12"/>
        <v>664320</v>
      </c>
      <c r="J173" s="137"/>
    </row>
    <row r="174" spans="1:10" x14ac:dyDescent="0.2">
      <c r="A174" s="140"/>
      <c r="B174" s="151"/>
      <c r="C174" s="202"/>
      <c r="D174" s="112" t="s">
        <v>517</v>
      </c>
      <c r="E174" s="143" t="s">
        <v>150</v>
      </c>
      <c r="F174" s="143">
        <v>1</v>
      </c>
      <c r="G174" s="110" t="s">
        <v>375</v>
      </c>
      <c r="H174" s="118">
        <v>300000</v>
      </c>
      <c r="I174" s="165">
        <f t="shared" si="12"/>
        <v>300000</v>
      </c>
      <c r="J174" s="137"/>
    </row>
    <row r="175" spans="1:10" x14ac:dyDescent="0.2">
      <c r="A175" s="140"/>
      <c r="B175" s="151"/>
      <c r="C175" s="202"/>
      <c r="D175" s="112" t="s">
        <v>355</v>
      </c>
      <c r="E175" s="143" t="s">
        <v>150</v>
      </c>
      <c r="F175" s="143">
        <v>1</v>
      </c>
      <c r="G175" s="110" t="s">
        <v>375</v>
      </c>
      <c r="H175" s="118">
        <v>150000</v>
      </c>
      <c r="I175" s="165">
        <f t="shared" si="12"/>
        <v>150000</v>
      </c>
      <c r="J175" s="137"/>
    </row>
    <row r="176" spans="1:10" ht="30" x14ac:dyDescent="0.2">
      <c r="A176" s="140"/>
      <c r="B176" s="151"/>
      <c r="C176" s="202"/>
      <c r="D176" s="113" t="s">
        <v>518</v>
      </c>
      <c r="E176" s="114" t="s">
        <v>149</v>
      </c>
      <c r="F176" s="114">
        <v>2</v>
      </c>
      <c r="G176" s="114" t="s">
        <v>375</v>
      </c>
      <c r="H176" s="118">
        <v>69700</v>
      </c>
      <c r="I176" s="165">
        <f t="shared" si="12"/>
        <v>139400</v>
      </c>
      <c r="J176" s="137"/>
    </row>
    <row r="177" spans="1:10" x14ac:dyDescent="0.2">
      <c r="A177" s="140"/>
      <c r="B177" s="151"/>
      <c r="C177" s="202"/>
      <c r="D177" s="113"/>
      <c r="E177" s="114"/>
      <c r="F177" s="114"/>
      <c r="G177" s="114"/>
      <c r="H177" s="118"/>
      <c r="I177" s="165"/>
      <c r="J177" s="137"/>
    </row>
    <row r="178" spans="1:10" x14ac:dyDescent="0.2">
      <c r="A178" s="140"/>
      <c r="B178" s="167" t="s">
        <v>10</v>
      </c>
      <c r="C178" s="202" t="s">
        <v>667</v>
      </c>
      <c r="D178" s="161" t="s">
        <v>611</v>
      </c>
      <c r="E178" s="140"/>
      <c r="F178" s="140"/>
      <c r="G178" s="125"/>
      <c r="H178" s="125"/>
      <c r="I178" s="165"/>
      <c r="J178" s="137"/>
    </row>
    <row r="179" spans="1:10" x14ac:dyDescent="0.2">
      <c r="A179" s="140"/>
      <c r="B179" s="151"/>
      <c r="C179" s="203"/>
      <c r="D179" s="112" t="s">
        <v>359</v>
      </c>
      <c r="E179" s="110" t="s">
        <v>205</v>
      </c>
      <c r="F179" s="110">
        <v>1</v>
      </c>
      <c r="G179" s="110" t="s">
        <v>255</v>
      </c>
      <c r="H179" s="118">
        <v>1100000</v>
      </c>
      <c r="I179" s="165">
        <f t="shared" ref="I179:I190" si="13">+H179*F179</f>
        <v>1100000</v>
      </c>
      <c r="J179" s="137"/>
    </row>
    <row r="180" spans="1:10" x14ac:dyDescent="0.2">
      <c r="A180" s="140"/>
      <c r="B180" s="151"/>
      <c r="C180" s="202"/>
      <c r="D180" s="112" t="s">
        <v>358</v>
      </c>
      <c r="E180" s="110" t="s">
        <v>205</v>
      </c>
      <c r="F180" s="110">
        <v>1</v>
      </c>
      <c r="G180" s="110" t="s">
        <v>255</v>
      </c>
      <c r="H180" s="118">
        <v>1100000</v>
      </c>
      <c r="I180" s="165">
        <f t="shared" si="13"/>
        <v>1100000</v>
      </c>
      <c r="J180" s="137"/>
    </row>
    <row r="181" spans="1:10" x14ac:dyDescent="0.2">
      <c r="A181" s="140"/>
      <c r="B181" s="151"/>
      <c r="C181" s="202"/>
      <c r="D181" s="112" t="s">
        <v>324</v>
      </c>
      <c r="E181" s="110" t="s">
        <v>205</v>
      </c>
      <c r="F181" s="110">
        <v>1</v>
      </c>
      <c r="G181" s="110" t="s">
        <v>375</v>
      </c>
      <c r="H181" s="118">
        <v>1000000</v>
      </c>
      <c r="I181" s="165">
        <f t="shared" si="13"/>
        <v>1000000</v>
      </c>
      <c r="J181" s="137"/>
    </row>
    <row r="182" spans="1:10" x14ac:dyDescent="0.2">
      <c r="A182" s="140"/>
      <c r="B182" s="151"/>
      <c r="C182" s="202"/>
      <c r="D182" s="112" t="s">
        <v>325</v>
      </c>
      <c r="E182" s="110" t="s">
        <v>326</v>
      </c>
      <c r="F182" s="110">
        <v>1</v>
      </c>
      <c r="G182" s="110" t="s">
        <v>255</v>
      </c>
      <c r="H182" s="118">
        <v>1200000</v>
      </c>
      <c r="I182" s="165">
        <f t="shared" si="13"/>
        <v>1200000</v>
      </c>
      <c r="J182" s="137"/>
    </row>
    <row r="183" spans="1:10" x14ac:dyDescent="0.2">
      <c r="A183" s="140"/>
      <c r="B183" s="151"/>
      <c r="C183" s="202"/>
      <c r="D183" s="112" t="s">
        <v>389</v>
      </c>
      <c r="E183" s="110" t="s">
        <v>205</v>
      </c>
      <c r="F183" s="110">
        <v>1</v>
      </c>
      <c r="G183" s="110" t="s">
        <v>255</v>
      </c>
      <c r="H183" s="118">
        <f>768000 + ((768000*0.03)*2)</f>
        <v>814080</v>
      </c>
      <c r="I183" s="165">
        <f t="shared" si="13"/>
        <v>814080</v>
      </c>
      <c r="J183" s="137"/>
    </row>
    <row r="184" spans="1:10" x14ac:dyDescent="0.2">
      <c r="A184" s="140"/>
      <c r="B184" s="151"/>
      <c r="C184" s="202"/>
      <c r="D184" s="112" t="s">
        <v>354</v>
      </c>
      <c r="E184" s="143" t="s">
        <v>152</v>
      </c>
      <c r="F184" s="143">
        <v>1</v>
      </c>
      <c r="G184" s="110" t="s">
        <v>255</v>
      </c>
      <c r="H184" s="118">
        <f>600000 + ((600000*0.03)*2)</f>
        <v>636000</v>
      </c>
      <c r="I184" s="165">
        <f t="shared" si="13"/>
        <v>636000</v>
      </c>
      <c r="J184" s="137"/>
    </row>
    <row r="185" spans="1:10" x14ac:dyDescent="0.2">
      <c r="A185" s="140"/>
      <c r="B185" s="151"/>
      <c r="C185" s="202"/>
      <c r="D185" s="112" t="s">
        <v>517</v>
      </c>
      <c r="E185" s="143" t="s">
        <v>152</v>
      </c>
      <c r="F185" s="143">
        <v>1</v>
      </c>
      <c r="G185" s="110" t="s">
        <v>255</v>
      </c>
      <c r="H185" s="118">
        <v>300000</v>
      </c>
      <c r="I185" s="165">
        <f t="shared" si="13"/>
        <v>300000</v>
      </c>
      <c r="J185" s="137"/>
    </row>
    <row r="186" spans="1:10" x14ac:dyDescent="0.2">
      <c r="A186" s="140"/>
      <c r="B186" s="151"/>
      <c r="C186" s="202"/>
      <c r="D186" s="112" t="s">
        <v>355</v>
      </c>
      <c r="E186" s="143" t="s">
        <v>152</v>
      </c>
      <c r="F186" s="143">
        <v>1</v>
      </c>
      <c r="G186" s="110" t="s">
        <v>255</v>
      </c>
      <c r="H186" s="118">
        <v>150000</v>
      </c>
      <c r="I186" s="165">
        <f t="shared" si="13"/>
        <v>150000</v>
      </c>
      <c r="J186" s="137"/>
    </row>
    <row r="187" spans="1:10" x14ac:dyDescent="0.2">
      <c r="A187" s="140"/>
      <c r="B187" s="151"/>
      <c r="C187" s="202"/>
      <c r="D187" s="112" t="s">
        <v>354</v>
      </c>
      <c r="E187" s="143" t="s">
        <v>150</v>
      </c>
      <c r="F187" s="143">
        <v>1</v>
      </c>
      <c r="G187" s="110" t="s">
        <v>375</v>
      </c>
      <c r="H187" s="118">
        <f>519000 + ((519000*0.07)*4)</f>
        <v>664320</v>
      </c>
      <c r="I187" s="165">
        <f t="shared" si="13"/>
        <v>664320</v>
      </c>
      <c r="J187" s="137"/>
    </row>
    <row r="188" spans="1:10" x14ac:dyDescent="0.2">
      <c r="A188" s="140"/>
      <c r="B188" s="151"/>
      <c r="C188" s="202"/>
      <c r="D188" s="112" t="s">
        <v>517</v>
      </c>
      <c r="E188" s="143" t="s">
        <v>150</v>
      </c>
      <c r="F188" s="143">
        <v>1</v>
      </c>
      <c r="G188" s="110" t="s">
        <v>375</v>
      </c>
      <c r="H188" s="118">
        <v>300000</v>
      </c>
      <c r="I188" s="165">
        <f t="shared" si="13"/>
        <v>300000</v>
      </c>
      <c r="J188" s="137"/>
    </row>
    <row r="189" spans="1:10" x14ac:dyDescent="0.2">
      <c r="A189" s="140"/>
      <c r="B189" s="151"/>
      <c r="C189" s="202"/>
      <c r="D189" s="112" t="s">
        <v>355</v>
      </c>
      <c r="E189" s="143" t="s">
        <v>150</v>
      </c>
      <c r="F189" s="143">
        <v>1</v>
      </c>
      <c r="G189" s="110" t="s">
        <v>375</v>
      </c>
      <c r="H189" s="118">
        <v>150000</v>
      </c>
      <c r="I189" s="165">
        <f t="shared" si="13"/>
        <v>150000</v>
      </c>
      <c r="J189" s="137"/>
    </row>
    <row r="190" spans="1:10" ht="30" x14ac:dyDescent="0.2">
      <c r="A190" s="140"/>
      <c r="B190" s="151"/>
      <c r="C190" s="202"/>
      <c r="D190" s="113" t="s">
        <v>518</v>
      </c>
      <c r="E190" s="114" t="s">
        <v>149</v>
      </c>
      <c r="F190" s="114">
        <v>2</v>
      </c>
      <c r="G190" s="114" t="s">
        <v>375</v>
      </c>
      <c r="H190" s="118">
        <v>69700</v>
      </c>
      <c r="I190" s="165">
        <f t="shared" si="13"/>
        <v>139400</v>
      </c>
      <c r="J190" s="137"/>
    </row>
    <row r="191" spans="1:10" x14ac:dyDescent="0.2">
      <c r="A191" s="140"/>
      <c r="B191" s="151"/>
      <c r="C191" s="202"/>
      <c r="D191" s="113"/>
      <c r="E191" s="114"/>
      <c r="F191" s="114"/>
      <c r="G191" s="114"/>
      <c r="H191" s="118"/>
      <c r="I191" s="165"/>
      <c r="J191" s="137"/>
    </row>
    <row r="192" spans="1:10" x14ac:dyDescent="0.2">
      <c r="A192" s="160">
        <v>802</v>
      </c>
      <c r="B192" s="171" t="s">
        <v>11</v>
      </c>
      <c r="C192" s="202" t="s">
        <v>668</v>
      </c>
      <c r="D192" s="162" t="s">
        <v>552</v>
      </c>
      <c r="E192" s="140"/>
      <c r="F192" s="140"/>
      <c r="G192" s="125"/>
      <c r="H192" s="125"/>
      <c r="I192" s="165"/>
      <c r="J192" s="137"/>
    </row>
    <row r="193" spans="1:10" x14ac:dyDescent="0.2">
      <c r="A193" s="140"/>
      <c r="B193" s="140"/>
      <c r="C193" s="204"/>
      <c r="D193" s="112" t="s">
        <v>359</v>
      </c>
      <c r="E193" s="110" t="s">
        <v>205</v>
      </c>
      <c r="F193" s="110">
        <v>1</v>
      </c>
      <c r="G193" s="110" t="s">
        <v>255</v>
      </c>
      <c r="H193" s="115">
        <v>1100000</v>
      </c>
      <c r="I193" s="165">
        <f t="shared" ref="I193:I203" si="14">+H193*F193</f>
        <v>1100000</v>
      </c>
      <c r="J193" s="137"/>
    </row>
    <row r="194" spans="1:10" x14ac:dyDescent="0.2">
      <c r="A194" s="140"/>
      <c r="B194" s="140"/>
      <c r="C194" s="205"/>
      <c r="D194" s="112" t="s">
        <v>324</v>
      </c>
      <c r="E194" s="110" t="s">
        <v>205</v>
      </c>
      <c r="F194" s="110">
        <v>1</v>
      </c>
      <c r="G194" s="110" t="s">
        <v>375</v>
      </c>
      <c r="H194" s="115">
        <v>1000000</v>
      </c>
      <c r="I194" s="165">
        <f t="shared" si="14"/>
        <v>1000000</v>
      </c>
      <c r="J194" s="137"/>
    </row>
    <row r="195" spans="1:10" x14ac:dyDescent="0.2">
      <c r="A195" s="140"/>
      <c r="B195" s="140"/>
      <c r="C195" s="205"/>
      <c r="D195" s="112" t="s">
        <v>325</v>
      </c>
      <c r="E195" s="110" t="s">
        <v>205</v>
      </c>
      <c r="F195" s="110">
        <v>1</v>
      </c>
      <c r="G195" s="110" t="s">
        <v>255</v>
      </c>
      <c r="H195" s="115">
        <f>768000 + ((768000*0.03)*2)</f>
        <v>814080</v>
      </c>
      <c r="I195" s="165">
        <f t="shared" si="14"/>
        <v>814080</v>
      </c>
      <c r="J195" s="137"/>
    </row>
    <row r="196" spans="1:10" x14ac:dyDescent="0.2">
      <c r="A196" s="140"/>
      <c r="B196" s="140"/>
      <c r="C196" s="205"/>
      <c r="D196" s="112" t="s">
        <v>389</v>
      </c>
      <c r="E196" s="110" t="s">
        <v>205</v>
      </c>
      <c r="F196" s="110">
        <v>1</v>
      </c>
      <c r="G196" s="110" t="s">
        <v>255</v>
      </c>
      <c r="H196" s="115">
        <f>768000 + ((768000*0.03)*2)</f>
        <v>814080</v>
      </c>
      <c r="I196" s="165">
        <f t="shared" si="14"/>
        <v>814080</v>
      </c>
      <c r="J196" s="137"/>
    </row>
    <row r="197" spans="1:10" x14ac:dyDescent="0.2">
      <c r="A197" s="140"/>
      <c r="B197" s="140"/>
      <c r="C197" s="205"/>
      <c r="D197" s="112" t="s">
        <v>354</v>
      </c>
      <c r="E197" s="110" t="s">
        <v>151</v>
      </c>
      <c r="F197" s="110">
        <v>2</v>
      </c>
      <c r="G197" s="110" t="s">
        <v>375</v>
      </c>
      <c r="H197" s="115">
        <f>455000 + ((455000*0.03)*2)</f>
        <v>482300</v>
      </c>
      <c r="I197" s="165">
        <f t="shared" si="14"/>
        <v>964600</v>
      </c>
      <c r="J197" s="137"/>
    </row>
    <row r="198" spans="1:10" x14ac:dyDescent="0.2">
      <c r="A198" s="140"/>
      <c r="B198" s="140"/>
      <c r="C198" s="205"/>
      <c r="D198" s="112" t="s">
        <v>517</v>
      </c>
      <c r="E198" s="110" t="s">
        <v>151</v>
      </c>
      <c r="F198" s="110">
        <v>2</v>
      </c>
      <c r="G198" s="110" t="s">
        <v>375</v>
      </c>
      <c r="H198" s="115">
        <f>103300 + ((103300*0.03)*2)</f>
        <v>109498</v>
      </c>
      <c r="I198" s="165">
        <f t="shared" si="14"/>
        <v>218996</v>
      </c>
      <c r="J198" s="137"/>
    </row>
    <row r="199" spans="1:10" x14ac:dyDescent="0.2">
      <c r="A199" s="140"/>
      <c r="B199" s="140"/>
      <c r="C199" s="205"/>
      <c r="D199" s="112" t="s">
        <v>355</v>
      </c>
      <c r="E199" s="110" t="s">
        <v>151</v>
      </c>
      <c r="F199" s="110">
        <v>2</v>
      </c>
      <c r="G199" s="110" t="s">
        <v>375</v>
      </c>
      <c r="H199" s="115">
        <f>98800 + ((98800*0.07)*4)</f>
        <v>126464</v>
      </c>
      <c r="I199" s="165">
        <f t="shared" si="14"/>
        <v>252928</v>
      </c>
      <c r="J199" s="137"/>
    </row>
    <row r="200" spans="1:10" ht="30" x14ac:dyDescent="0.2">
      <c r="A200" s="140"/>
      <c r="B200" s="140"/>
      <c r="C200" s="205"/>
      <c r="D200" s="113" t="s">
        <v>519</v>
      </c>
      <c r="E200" s="114" t="s">
        <v>163</v>
      </c>
      <c r="F200" s="114">
        <v>1</v>
      </c>
      <c r="G200" s="114" t="s">
        <v>255</v>
      </c>
      <c r="H200" s="115">
        <v>69700</v>
      </c>
      <c r="I200" s="165">
        <f t="shared" si="14"/>
        <v>69700</v>
      </c>
      <c r="J200" s="137"/>
    </row>
    <row r="201" spans="1:10" x14ac:dyDescent="0.2">
      <c r="A201" s="140"/>
      <c r="B201" s="140"/>
      <c r="C201" s="205"/>
      <c r="D201" s="112" t="s">
        <v>520</v>
      </c>
      <c r="E201" s="110" t="s">
        <v>149</v>
      </c>
      <c r="F201" s="114">
        <v>4</v>
      </c>
      <c r="G201" s="110" t="s">
        <v>283</v>
      </c>
      <c r="H201" s="115">
        <f>16800 + ((16800*0.03)*2)</f>
        <v>17808</v>
      </c>
      <c r="I201" s="165">
        <f t="shared" si="14"/>
        <v>71232</v>
      </c>
      <c r="J201" s="137"/>
    </row>
    <row r="202" spans="1:10" x14ac:dyDescent="0.2">
      <c r="A202" s="140"/>
      <c r="B202" s="140"/>
      <c r="C202" s="205"/>
      <c r="D202" s="112" t="s">
        <v>521</v>
      </c>
      <c r="E202" s="110" t="s">
        <v>465</v>
      </c>
      <c r="F202" s="110">
        <v>4</v>
      </c>
      <c r="G202" s="110" t="s">
        <v>375</v>
      </c>
      <c r="H202" s="115">
        <f>14300 + ((14300*0.03)*2)</f>
        <v>15158</v>
      </c>
      <c r="I202" s="165">
        <f t="shared" si="14"/>
        <v>60632</v>
      </c>
      <c r="J202" s="137"/>
    </row>
    <row r="203" spans="1:10" ht="30" x14ac:dyDescent="0.2">
      <c r="A203" s="140"/>
      <c r="B203" s="140"/>
      <c r="C203" s="205"/>
      <c r="D203" s="112" t="s">
        <v>522</v>
      </c>
      <c r="E203" s="110" t="s">
        <v>473</v>
      </c>
      <c r="F203" s="110">
        <v>4</v>
      </c>
      <c r="G203" s="110" t="s">
        <v>375</v>
      </c>
      <c r="H203" s="115">
        <f>56600 + ((56600*0.03)*2)</f>
        <v>59996</v>
      </c>
      <c r="I203" s="165">
        <f t="shared" si="14"/>
        <v>239984</v>
      </c>
      <c r="J203" s="137"/>
    </row>
    <row r="204" spans="1:10" x14ac:dyDescent="0.2">
      <c r="A204" s="140"/>
      <c r="B204" s="140"/>
      <c r="C204" s="205"/>
      <c r="D204" s="112"/>
      <c r="E204" s="110"/>
      <c r="F204" s="110"/>
      <c r="G204" s="110"/>
      <c r="H204" s="115"/>
      <c r="I204" s="165"/>
      <c r="J204" s="137"/>
    </row>
    <row r="205" spans="1:10" x14ac:dyDescent="0.2">
      <c r="A205" s="140"/>
      <c r="B205" s="140"/>
      <c r="C205" s="205">
        <v>9</v>
      </c>
      <c r="D205" s="175" t="s">
        <v>633</v>
      </c>
      <c r="E205" s="110"/>
      <c r="F205" s="110"/>
      <c r="G205" s="110"/>
      <c r="H205" s="115"/>
      <c r="I205" s="165"/>
      <c r="J205" s="174">
        <f>SUM(I206:I226)/100000</f>
        <v>224.75</v>
      </c>
    </row>
    <row r="206" spans="1:10" ht="15.75" x14ac:dyDescent="0.2">
      <c r="A206" s="140"/>
      <c r="B206" s="140"/>
      <c r="C206" s="205"/>
      <c r="D206" s="156" t="s">
        <v>635</v>
      </c>
      <c r="E206" s="147" t="s">
        <v>634</v>
      </c>
      <c r="F206" s="147">
        <v>2</v>
      </c>
      <c r="G206" s="157" t="s">
        <v>375</v>
      </c>
      <c r="H206" s="157">
        <v>2600000</v>
      </c>
      <c r="I206" s="165">
        <f>F206*H206</f>
        <v>5200000</v>
      </c>
      <c r="J206" s="137"/>
    </row>
    <row r="207" spans="1:10" ht="31.5" x14ac:dyDescent="0.2">
      <c r="A207" s="140"/>
      <c r="B207" s="140"/>
      <c r="C207" s="205"/>
      <c r="D207" s="156" t="s">
        <v>612</v>
      </c>
      <c r="E207" s="147" t="s">
        <v>153</v>
      </c>
      <c r="F207" s="147">
        <v>1</v>
      </c>
      <c r="G207" s="157" t="s">
        <v>375</v>
      </c>
      <c r="H207" s="157">
        <v>75000</v>
      </c>
      <c r="I207" s="165">
        <f t="shared" ref="I207:I226" si="15">F207*H207</f>
        <v>75000</v>
      </c>
      <c r="J207" s="137"/>
    </row>
    <row r="208" spans="1:10" ht="31.5" x14ac:dyDescent="0.2">
      <c r="A208" s="140"/>
      <c r="B208" s="140"/>
      <c r="C208" s="205"/>
      <c r="D208" s="156" t="s">
        <v>613</v>
      </c>
      <c r="E208" s="147" t="s">
        <v>153</v>
      </c>
      <c r="F208" s="147">
        <v>1</v>
      </c>
      <c r="G208" s="157" t="s">
        <v>375</v>
      </c>
      <c r="H208" s="157">
        <v>3500000</v>
      </c>
      <c r="I208" s="165">
        <f t="shared" si="15"/>
        <v>3500000</v>
      </c>
      <c r="J208" s="137"/>
    </row>
    <row r="209" spans="1:10" ht="15.75" x14ac:dyDescent="0.2">
      <c r="A209" s="140"/>
      <c r="B209" s="140"/>
      <c r="C209" s="205"/>
      <c r="D209" s="156" t="s">
        <v>614</v>
      </c>
      <c r="E209" s="147" t="s">
        <v>153</v>
      </c>
      <c r="F209" s="147">
        <v>1</v>
      </c>
      <c r="G209" s="157" t="s">
        <v>375</v>
      </c>
      <c r="H209" s="157">
        <v>400000</v>
      </c>
      <c r="I209" s="165">
        <f t="shared" si="15"/>
        <v>400000</v>
      </c>
      <c r="J209" s="137"/>
    </row>
    <row r="210" spans="1:10" ht="15.75" x14ac:dyDescent="0.2">
      <c r="A210" s="140"/>
      <c r="B210" s="140"/>
      <c r="C210" s="205"/>
      <c r="D210" s="156" t="s">
        <v>615</v>
      </c>
      <c r="E210" s="147" t="s">
        <v>156</v>
      </c>
      <c r="F210" s="147">
        <v>2</v>
      </c>
      <c r="G210" s="157" t="s">
        <v>375</v>
      </c>
      <c r="H210" s="157">
        <v>450000</v>
      </c>
      <c r="I210" s="165">
        <f t="shared" si="15"/>
        <v>900000</v>
      </c>
      <c r="J210" s="137"/>
    </row>
    <row r="211" spans="1:10" ht="15.75" x14ac:dyDescent="0.2">
      <c r="A211" s="140"/>
      <c r="B211" s="140"/>
      <c r="C211" s="205"/>
      <c r="D211" s="156" t="s">
        <v>616</v>
      </c>
      <c r="E211" s="147" t="s">
        <v>617</v>
      </c>
      <c r="F211" s="147">
        <v>2</v>
      </c>
      <c r="G211" s="157" t="s">
        <v>375</v>
      </c>
      <c r="H211" s="157">
        <v>3000000</v>
      </c>
      <c r="I211" s="165">
        <f t="shared" si="15"/>
        <v>6000000</v>
      </c>
      <c r="J211" s="137"/>
    </row>
    <row r="212" spans="1:10" ht="15.75" x14ac:dyDescent="0.2">
      <c r="A212" s="140"/>
      <c r="B212" s="140"/>
      <c r="C212" s="205"/>
      <c r="D212" s="156" t="s">
        <v>618</v>
      </c>
      <c r="E212" s="147" t="s">
        <v>149</v>
      </c>
      <c r="F212" s="147">
        <v>1</v>
      </c>
      <c r="G212" s="157" t="s">
        <v>375</v>
      </c>
      <c r="H212" s="157">
        <v>400000</v>
      </c>
      <c r="I212" s="165">
        <f t="shared" si="15"/>
        <v>400000</v>
      </c>
      <c r="J212" s="137"/>
    </row>
    <row r="213" spans="1:10" ht="15.75" x14ac:dyDescent="0.2">
      <c r="A213" s="140"/>
      <c r="B213" s="140"/>
      <c r="C213" s="205"/>
      <c r="D213" s="156" t="s">
        <v>619</v>
      </c>
      <c r="E213" s="147" t="s">
        <v>200</v>
      </c>
      <c r="F213" s="147">
        <v>1</v>
      </c>
      <c r="G213" s="157" t="s">
        <v>375</v>
      </c>
      <c r="H213" s="157">
        <v>700000</v>
      </c>
      <c r="I213" s="165">
        <f t="shared" si="15"/>
        <v>700000</v>
      </c>
      <c r="J213" s="137"/>
    </row>
    <row r="214" spans="1:10" ht="15.75" x14ac:dyDescent="0.2">
      <c r="A214" s="140"/>
      <c r="B214" s="140"/>
      <c r="C214" s="205"/>
      <c r="D214" s="156" t="s">
        <v>620</v>
      </c>
      <c r="E214" s="147" t="s">
        <v>200</v>
      </c>
      <c r="F214" s="147">
        <v>1</v>
      </c>
      <c r="G214" s="157" t="s">
        <v>375</v>
      </c>
      <c r="H214" s="157">
        <v>700000</v>
      </c>
      <c r="I214" s="165">
        <f t="shared" si="15"/>
        <v>700000</v>
      </c>
      <c r="J214" s="137"/>
    </row>
    <row r="215" spans="1:10" ht="15.75" x14ac:dyDescent="0.2">
      <c r="A215" s="140"/>
      <c r="B215" s="140"/>
      <c r="C215" s="205"/>
      <c r="D215" s="156" t="s">
        <v>621</v>
      </c>
      <c r="E215" s="147" t="s">
        <v>335</v>
      </c>
      <c r="F215" s="147">
        <v>1</v>
      </c>
      <c r="G215" s="157" t="s">
        <v>375</v>
      </c>
      <c r="H215" s="157">
        <v>75000</v>
      </c>
      <c r="I215" s="165">
        <f t="shared" si="15"/>
        <v>75000</v>
      </c>
      <c r="J215" s="137"/>
    </row>
    <row r="216" spans="1:10" ht="15.75" x14ac:dyDescent="0.2">
      <c r="A216" s="140"/>
      <c r="B216" s="140"/>
      <c r="C216" s="205"/>
      <c r="D216" s="156" t="s">
        <v>622</v>
      </c>
      <c r="E216" s="147" t="s">
        <v>623</v>
      </c>
      <c r="F216" s="147">
        <v>1</v>
      </c>
      <c r="G216" s="157" t="s">
        <v>375</v>
      </c>
      <c r="H216" s="157">
        <v>125000</v>
      </c>
      <c r="I216" s="165">
        <f t="shared" si="15"/>
        <v>125000</v>
      </c>
      <c r="J216" s="137"/>
    </row>
    <row r="217" spans="1:10" ht="15.75" x14ac:dyDescent="0.2">
      <c r="A217" s="140"/>
      <c r="B217" s="140"/>
      <c r="C217" s="205"/>
      <c r="D217" s="156" t="s">
        <v>624</v>
      </c>
      <c r="E217" s="147" t="s">
        <v>153</v>
      </c>
      <c r="F217" s="147">
        <v>1</v>
      </c>
      <c r="G217" s="157" t="s">
        <v>375</v>
      </c>
      <c r="H217" s="157">
        <v>125000</v>
      </c>
      <c r="I217" s="165">
        <f t="shared" si="15"/>
        <v>125000</v>
      </c>
      <c r="J217" s="137"/>
    </row>
    <row r="218" spans="1:10" ht="15.75" x14ac:dyDescent="0.2">
      <c r="A218" s="140"/>
      <c r="B218" s="140"/>
      <c r="C218" s="205"/>
      <c r="D218" s="156" t="s">
        <v>625</v>
      </c>
      <c r="E218" s="147" t="s">
        <v>149</v>
      </c>
      <c r="F218" s="147">
        <v>1</v>
      </c>
      <c r="G218" s="157" t="s">
        <v>375</v>
      </c>
      <c r="H218" s="157">
        <v>75000</v>
      </c>
      <c r="I218" s="165">
        <f t="shared" si="15"/>
        <v>75000</v>
      </c>
      <c r="J218" s="137"/>
    </row>
    <row r="219" spans="1:10" ht="15.75" x14ac:dyDescent="0.2">
      <c r="A219" s="140"/>
      <c r="B219" s="140"/>
      <c r="C219" s="205"/>
      <c r="D219" s="156" t="s">
        <v>626</v>
      </c>
      <c r="E219" s="147" t="s">
        <v>200</v>
      </c>
      <c r="F219" s="147">
        <v>1</v>
      </c>
      <c r="G219" s="157" t="s">
        <v>375</v>
      </c>
      <c r="H219" s="157">
        <v>500000</v>
      </c>
      <c r="I219" s="165">
        <f t="shared" si="15"/>
        <v>500000</v>
      </c>
      <c r="J219" s="137"/>
    </row>
    <row r="220" spans="1:10" ht="15.75" x14ac:dyDescent="0.2">
      <c r="A220" s="140"/>
      <c r="B220" s="140"/>
      <c r="C220" s="205"/>
      <c r="D220" s="158" t="s">
        <v>627</v>
      </c>
      <c r="E220" s="147" t="s">
        <v>153</v>
      </c>
      <c r="F220" s="147">
        <v>1</v>
      </c>
      <c r="G220" s="157" t="s">
        <v>375</v>
      </c>
      <c r="H220" s="157">
        <v>75000</v>
      </c>
      <c r="I220" s="165">
        <f t="shared" si="15"/>
        <v>75000</v>
      </c>
      <c r="J220" s="137"/>
    </row>
    <row r="221" spans="1:10" ht="15.75" x14ac:dyDescent="0.2">
      <c r="A221" s="140"/>
      <c r="B221" s="140"/>
      <c r="C221" s="205"/>
      <c r="D221" s="158" t="s">
        <v>628</v>
      </c>
      <c r="E221" s="147" t="s">
        <v>153</v>
      </c>
      <c r="F221" s="147">
        <v>1</v>
      </c>
      <c r="G221" s="157" t="s">
        <v>375</v>
      </c>
      <c r="H221" s="157">
        <v>125000</v>
      </c>
      <c r="I221" s="165">
        <f t="shared" si="15"/>
        <v>125000</v>
      </c>
      <c r="J221" s="137"/>
    </row>
    <row r="222" spans="1:10" ht="15.75" x14ac:dyDescent="0.2">
      <c r="A222" s="140"/>
      <c r="B222" s="140"/>
      <c r="C222" s="205"/>
      <c r="D222" s="158" t="s">
        <v>629</v>
      </c>
      <c r="E222" s="147" t="s">
        <v>153</v>
      </c>
      <c r="F222" s="147">
        <v>1</v>
      </c>
      <c r="G222" s="157" t="s">
        <v>375</v>
      </c>
      <c r="H222" s="157">
        <v>125000</v>
      </c>
      <c r="I222" s="165">
        <f t="shared" si="15"/>
        <v>125000</v>
      </c>
      <c r="J222" s="137"/>
    </row>
    <row r="223" spans="1:10" ht="15.75" x14ac:dyDescent="0.2">
      <c r="A223" s="140"/>
      <c r="B223" s="140"/>
      <c r="C223" s="205"/>
      <c r="D223" s="158" t="s">
        <v>630</v>
      </c>
      <c r="E223" s="147" t="s">
        <v>153</v>
      </c>
      <c r="F223" s="147">
        <v>1</v>
      </c>
      <c r="G223" s="157" t="s">
        <v>375</v>
      </c>
      <c r="H223" s="157">
        <v>75000</v>
      </c>
      <c r="I223" s="165">
        <f t="shared" si="15"/>
        <v>75000</v>
      </c>
      <c r="J223" s="137"/>
    </row>
    <row r="224" spans="1:10" ht="15.75" x14ac:dyDescent="0.2">
      <c r="A224" s="140"/>
      <c r="B224" s="140"/>
      <c r="C224" s="205"/>
      <c r="D224" s="158" t="s">
        <v>631</v>
      </c>
      <c r="E224" s="147" t="s">
        <v>153</v>
      </c>
      <c r="F224" s="147">
        <v>1</v>
      </c>
      <c r="G224" s="157" t="s">
        <v>375</v>
      </c>
      <c r="H224" s="157">
        <v>750000</v>
      </c>
      <c r="I224" s="165">
        <f t="shared" si="15"/>
        <v>750000</v>
      </c>
      <c r="J224" s="137"/>
    </row>
    <row r="225" spans="1:10" ht="15.75" x14ac:dyDescent="0.2">
      <c r="A225" s="140"/>
      <c r="B225" s="140"/>
      <c r="C225" s="205"/>
      <c r="D225" s="158" t="s">
        <v>632</v>
      </c>
      <c r="E225" s="147" t="s">
        <v>200</v>
      </c>
      <c r="F225" s="147">
        <v>1</v>
      </c>
      <c r="G225" s="157" t="s">
        <v>375</v>
      </c>
      <c r="H225" s="157">
        <v>750000</v>
      </c>
      <c r="I225" s="165">
        <f t="shared" si="15"/>
        <v>750000</v>
      </c>
      <c r="J225" s="137"/>
    </row>
    <row r="226" spans="1:10" ht="15.75" x14ac:dyDescent="0.2">
      <c r="A226" s="140"/>
      <c r="B226" s="140"/>
      <c r="C226" s="205"/>
      <c r="D226" s="158" t="s">
        <v>636</v>
      </c>
      <c r="E226" s="147" t="s">
        <v>149</v>
      </c>
      <c r="F226" s="147">
        <v>1</v>
      </c>
      <c r="G226" s="157" t="s">
        <v>375</v>
      </c>
      <c r="H226" s="157">
        <v>1800000</v>
      </c>
      <c r="I226" s="165">
        <f t="shared" si="15"/>
        <v>1800000</v>
      </c>
      <c r="J226" s="137"/>
    </row>
    <row r="227" spans="1:10" x14ac:dyDescent="0.2">
      <c r="A227" s="140"/>
      <c r="B227" s="140"/>
      <c r="C227" s="205"/>
      <c r="D227" s="112"/>
      <c r="E227" s="110"/>
      <c r="F227" s="110"/>
      <c r="G227" s="110"/>
      <c r="H227" s="115"/>
      <c r="I227" s="165"/>
      <c r="J227" s="137"/>
    </row>
    <row r="228" spans="1:10" ht="15.75" x14ac:dyDescent="0.2">
      <c r="A228" s="140"/>
      <c r="B228" s="140"/>
      <c r="C228" s="205">
        <v>10</v>
      </c>
      <c r="D228" s="146" t="s">
        <v>637</v>
      </c>
      <c r="E228" s="147"/>
      <c r="F228" s="159"/>
      <c r="G228" s="154"/>
      <c r="H228" s="156"/>
      <c r="I228" s="165"/>
      <c r="J228" s="174">
        <f>SUM(I229:I242)/100000</f>
        <v>185</v>
      </c>
    </row>
    <row r="229" spans="1:10" ht="15.75" x14ac:dyDescent="0.2">
      <c r="A229" s="140"/>
      <c r="B229" s="140"/>
      <c r="C229" s="205"/>
      <c r="D229" s="156" t="s">
        <v>650</v>
      </c>
      <c r="E229" s="147" t="s">
        <v>634</v>
      </c>
      <c r="F229" s="159">
        <v>1</v>
      </c>
      <c r="G229" s="157" t="s">
        <v>375</v>
      </c>
      <c r="H229" s="187">
        <v>2600000</v>
      </c>
      <c r="I229" s="188">
        <f t="shared" ref="I229:I242" si="16">F229*H229</f>
        <v>2600000</v>
      </c>
      <c r="J229" s="137"/>
    </row>
    <row r="230" spans="1:10" ht="15.75" x14ac:dyDescent="0.2">
      <c r="A230" s="140"/>
      <c r="B230" s="140"/>
      <c r="C230" s="205"/>
      <c r="D230" s="156" t="s">
        <v>653</v>
      </c>
      <c r="E230" s="147" t="s">
        <v>153</v>
      </c>
      <c r="F230" s="159">
        <v>1</v>
      </c>
      <c r="G230" s="157" t="s">
        <v>255</v>
      </c>
      <c r="H230" s="187">
        <v>125000</v>
      </c>
      <c r="I230" s="188">
        <f t="shared" si="16"/>
        <v>125000</v>
      </c>
      <c r="J230" s="137"/>
    </row>
    <row r="231" spans="1:10" ht="15.75" x14ac:dyDescent="0.2">
      <c r="A231" s="140"/>
      <c r="B231" s="140"/>
      <c r="C231" s="205"/>
      <c r="D231" s="156" t="s">
        <v>652</v>
      </c>
      <c r="E231" s="147" t="s">
        <v>153</v>
      </c>
      <c r="F231" s="159">
        <v>1</v>
      </c>
      <c r="G231" s="157" t="s">
        <v>255</v>
      </c>
      <c r="H231" s="187">
        <v>3500000</v>
      </c>
      <c r="I231" s="188">
        <f t="shared" si="16"/>
        <v>3500000</v>
      </c>
      <c r="J231" s="137"/>
    </row>
    <row r="232" spans="1:10" ht="15.75" x14ac:dyDescent="0.2">
      <c r="A232" s="140"/>
      <c r="B232" s="140"/>
      <c r="C232" s="205"/>
      <c r="D232" s="156" t="s">
        <v>638</v>
      </c>
      <c r="E232" s="147" t="s">
        <v>639</v>
      </c>
      <c r="F232" s="159">
        <v>3</v>
      </c>
      <c r="G232" s="157" t="s">
        <v>375</v>
      </c>
      <c r="H232" s="189">
        <v>1000000</v>
      </c>
      <c r="I232" s="188">
        <f t="shared" si="16"/>
        <v>3000000</v>
      </c>
      <c r="J232" s="137"/>
    </row>
    <row r="233" spans="1:10" ht="15.75" x14ac:dyDescent="0.2">
      <c r="A233" s="140"/>
      <c r="B233" s="140"/>
      <c r="C233" s="205"/>
      <c r="D233" s="156" t="s">
        <v>640</v>
      </c>
      <c r="E233" s="147" t="s">
        <v>161</v>
      </c>
      <c r="F233" s="159">
        <v>1</v>
      </c>
      <c r="G233" s="157" t="s">
        <v>375</v>
      </c>
      <c r="H233" s="189">
        <v>100000</v>
      </c>
      <c r="I233" s="188">
        <f t="shared" si="16"/>
        <v>100000</v>
      </c>
      <c r="J233" s="137"/>
    </row>
    <row r="234" spans="1:10" ht="15.75" x14ac:dyDescent="0.2">
      <c r="A234" s="140"/>
      <c r="B234" s="140"/>
      <c r="C234" s="205"/>
      <c r="D234" s="156" t="s">
        <v>641</v>
      </c>
      <c r="E234" s="147" t="s">
        <v>153</v>
      </c>
      <c r="F234" s="159">
        <v>1</v>
      </c>
      <c r="G234" s="157" t="s">
        <v>375</v>
      </c>
      <c r="H234" s="189">
        <v>100000</v>
      </c>
      <c r="I234" s="188">
        <f t="shared" si="16"/>
        <v>100000</v>
      </c>
      <c r="J234" s="137"/>
    </row>
    <row r="235" spans="1:10" ht="15.75" x14ac:dyDescent="0.2">
      <c r="A235" s="140"/>
      <c r="B235" s="140"/>
      <c r="C235" s="205"/>
      <c r="D235" s="156" t="s">
        <v>642</v>
      </c>
      <c r="E235" s="147" t="s">
        <v>149</v>
      </c>
      <c r="F235" s="159">
        <v>40</v>
      </c>
      <c r="G235" s="157" t="s">
        <v>375</v>
      </c>
      <c r="H235" s="189">
        <v>15000</v>
      </c>
      <c r="I235" s="188">
        <f t="shared" si="16"/>
        <v>600000</v>
      </c>
      <c r="J235" s="137"/>
    </row>
    <row r="236" spans="1:10" ht="31.5" x14ac:dyDescent="0.2">
      <c r="A236" s="140"/>
      <c r="B236" s="140"/>
      <c r="C236" s="205"/>
      <c r="D236" s="156" t="s">
        <v>643</v>
      </c>
      <c r="E236" s="147" t="s">
        <v>149</v>
      </c>
      <c r="F236" s="159">
        <v>2</v>
      </c>
      <c r="G236" s="157" t="s">
        <v>375</v>
      </c>
      <c r="H236" s="189">
        <v>500000</v>
      </c>
      <c r="I236" s="188">
        <f t="shared" si="16"/>
        <v>1000000</v>
      </c>
      <c r="J236" s="137"/>
    </row>
    <row r="237" spans="1:10" ht="15.75" x14ac:dyDescent="0.2">
      <c r="A237" s="140"/>
      <c r="B237" s="140"/>
      <c r="C237" s="205"/>
      <c r="D237" s="156" t="s">
        <v>644</v>
      </c>
      <c r="E237" s="147" t="s">
        <v>149</v>
      </c>
      <c r="F237" s="159">
        <v>2</v>
      </c>
      <c r="G237" s="157" t="s">
        <v>375</v>
      </c>
      <c r="H237" s="189">
        <v>1500000</v>
      </c>
      <c r="I237" s="188">
        <f t="shared" si="16"/>
        <v>3000000</v>
      </c>
      <c r="J237" s="137"/>
    </row>
    <row r="238" spans="1:10" ht="15.75" x14ac:dyDescent="0.2">
      <c r="A238" s="140"/>
      <c r="B238" s="140"/>
      <c r="C238" s="205"/>
      <c r="D238" s="156" t="s">
        <v>645</v>
      </c>
      <c r="E238" s="147" t="s">
        <v>149</v>
      </c>
      <c r="F238" s="159">
        <v>1</v>
      </c>
      <c r="G238" s="157" t="s">
        <v>375</v>
      </c>
      <c r="H238" s="189">
        <v>400000</v>
      </c>
      <c r="I238" s="188">
        <f t="shared" si="16"/>
        <v>400000</v>
      </c>
      <c r="J238" s="137"/>
    </row>
    <row r="239" spans="1:10" ht="31.5" x14ac:dyDescent="0.2">
      <c r="A239" s="140"/>
      <c r="B239" s="140"/>
      <c r="C239" s="205"/>
      <c r="D239" s="156" t="s">
        <v>646</v>
      </c>
      <c r="E239" s="147" t="s">
        <v>647</v>
      </c>
      <c r="F239" s="159">
        <v>1</v>
      </c>
      <c r="G239" s="157" t="s">
        <v>375</v>
      </c>
      <c r="H239" s="189">
        <v>1500000</v>
      </c>
      <c r="I239" s="188">
        <f t="shared" si="16"/>
        <v>1500000</v>
      </c>
      <c r="J239" s="137"/>
    </row>
    <row r="240" spans="1:10" ht="15.75" x14ac:dyDescent="0.2">
      <c r="A240" s="140"/>
      <c r="B240" s="140"/>
      <c r="C240" s="205"/>
      <c r="D240" s="156" t="s">
        <v>648</v>
      </c>
      <c r="E240" s="147" t="s">
        <v>149</v>
      </c>
      <c r="F240" s="159">
        <v>1</v>
      </c>
      <c r="G240" s="157" t="s">
        <v>375</v>
      </c>
      <c r="H240" s="189">
        <v>1000000</v>
      </c>
      <c r="I240" s="188">
        <f t="shared" si="16"/>
        <v>1000000</v>
      </c>
      <c r="J240" s="137"/>
    </row>
    <row r="241" spans="1:10" ht="15.75" x14ac:dyDescent="0.2">
      <c r="A241" s="140"/>
      <c r="B241" s="140"/>
      <c r="C241" s="205"/>
      <c r="D241" s="156" t="s">
        <v>649</v>
      </c>
      <c r="E241" s="147" t="s">
        <v>149</v>
      </c>
      <c r="F241" s="159">
        <v>1</v>
      </c>
      <c r="G241" s="157" t="s">
        <v>375</v>
      </c>
      <c r="H241" s="189">
        <v>1500000</v>
      </c>
      <c r="I241" s="188">
        <f t="shared" si="16"/>
        <v>1500000</v>
      </c>
      <c r="J241" s="137"/>
    </row>
    <row r="242" spans="1:10" x14ac:dyDescent="0.2">
      <c r="A242" s="140"/>
      <c r="B242" s="140"/>
      <c r="C242" s="205"/>
      <c r="D242" s="112" t="s">
        <v>654</v>
      </c>
      <c r="E242" s="110" t="s">
        <v>149</v>
      </c>
      <c r="F242" s="110">
        <v>1</v>
      </c>
      <c r="G242" s="110" t="s">
        <v>375</v>
      </c>
      <c r="H242" s="115">
        <v>75000</v>
      </c>
      <c r="I242" s="165">
        <f t="shared" si="16"/>
        <v>75000</v>
      </c>
      <c r="J242" s="137"/>
    </row>
    <row r="243" spans="1:10" x14ac:dyDescent="0.2">
      <c r="A243" s="140"/>
      <c r="B243" s="140"/>
      <c r="C243" s="205"/>
      <c r="D243" s="112"/>
      <c r="E243" s="110"/>
      <c r="F243" s="110"/>
      <c r="G243" s="110"/>
      <c r="H243" s="115"/>
      <c r="I243" s="165"/>
      <c r="J243" s="137"/>
    </row>
    <row r="244" spans="1:10" x14ac:dyDescent="0.2">
      <c r="A244" s="140"/>
      <c r="B244" s="140" t="s">
        <v>5</v>
      </c>
      <c r="C244" s="205">
        <v>11</v>
      </c>
      <c r="D244" s="162" t="s">
        <v>592</v>
      </c>
      <c r="E244" s="140" t="s">
        <v>301</v>
      </c>
      <c r="F244" s="191">
        <v>1</v>
      </c>
      <c r="G244" s="151" t="s">
        <v>283</v>
      </c>
      <c r="H244" s="145">
        <v>605000000</v>
      </c>
      <c r="I244" s="165">
        <f>F244*H244</f>
        <v>605000000</v>
      </c>
      <c r="J244" s="174">
        <f>SUM(I244)/100000</f>
        <v>6050</v>
      </c>
    </row>
    <row r="245" spans="1:10" ht="15.75" x14ac:dyDescent="0.2">
      <c r="A245" s="140"/>
      <c r="B245" s="153" t="s">
        <v>5</v>
      </c>
      <c r="C245" s="205"/>
      <c r="D245" s="154" t="s">
        <v>608</v>
      </c>
      <c r="E245" s="140"/>
      <c r="F245" s="191"/>
      <c r="G245" s="151"/>
      <c r="H245" s="145"/>
      <c r="I245" s="165"/>
      <c r="J245" s="174"/>
    </row>
    <row r="246" spans="1:10" ht="15.75" x14ac:dyDescent="0.2">
      <c r="A246" s="140"/>
      <c r="B246" s="153" t="s">
        <v>593</v>
      </c>
      <c r="C246" s="218"/>
      <c r="D246" s="154" t="s">
        <v>594</v>
      </c>
      <c r="E246" s="140"/>
      <c r="F246" s="191"/>
      <c r="G246" s="151"/>
      <c r="H246" s="145"/>
      <c r="I246" s="165"/>
      <c r="J246" s="174"/>
    </row>
    <row r="247" spans="1:10" ht="15.75" x14ac:dyDescent="0.2">
      <c r="A247" s="140"/>
      <c r="B247" s="153" t="s">
        <v>5</v>
      </c>
      <c r="C247" s="218"/>
      <c r="D247" s="154" t="s">
        <v>595</v>
      </c>
      <c r="E247" s="140"/>
      <c r="F247" s="191"/>
      <c r="G247" s="151"/>
      <c r="H247" s="145"/>
      <c r="I247" s="165"/>
      <c r="J247" s="174"/>
    </row>
    <row r="248" spans="1:10" ht="15.75" x14ac:dyDescent="0.2">
      <c r="A248" s="140"/>
      <c r="B248" s="153" t="s">
        <v>593</v>
      </c>
      <c r="C248" s="218"/>
      <c r="D248" s="154" t="s">
        <v>596</v>
      </c>
      <c r="E248" s="140"/>
      <c r="F248" s="191"/>
      <c r="G248" s="151"/>
      <c r="H248" s="145"/>
      <c r="I248" s="165"/>
      <c r="J248" s="174"/>
    </row>
    <row r="249" spans="1:10" ht="15.75" x14ac:dyDescent="0.2">
      <c r="A249" s="140"/>
      <c r="B249" s="140"/>
      <c r="C249" s="218"/>
      <c r="D249" s="125"/>
      <c r="E249" s="140"/>
      <c r="F249" s="191"/>
      <c r="G249" s="151"/>
      <c r="H249" s="125"/>
      <c r="I249" s="165"/>
      <c r="J249" s="137"/>
    </row>
    <row r="250" spans="1:10" x14ac:dyDescent="0.2">
      <c r="A250" s="160">
        <v>803</v>
      </c>
      <c r="B250" s="171" t="s">
        <v>4</v>
      </c>
      <c r="C250" s="205">
        <v>12</v>
      </c>
      <c r="D250" s="162" t="s">
        <v>434</v>
      </c>
      <c r="E250" s="160"/>
      <c r="F250" s="140"/>
      <c r="G250" s="140"/>
      <c r="H250" s="140"/>
      <c r="I250" s="165"/>
      <c r="J250" s="172">
        <f>I251/100000</f>
        <v>344.40922547999992</v>
      </c>
    </row>
    <row r="251" spans="1:10" ht="45" x14ac:dyDescent="0.2">
      <c r="A251" s="140"/>
      <c r="B251" s="140"/>
      <c r="C251" s="204"/>
      <c r="D251" s="125" t="s">
        <v>357</v>
      </c>
      <c r="E251" s="129" t="s">
        <v>406</v>
      </c>
      <c r="F251" s="191">
        <v>1</v>
      </c>
      <c r="G251" s="151" t="s">
        <v>254</v>
      </c>
      <c r="H251" s="115">
        <f>((J5+J17+J52+J68+J89+J97+J151)*100000)*0.15</f>
        <v>34440922.547999993</v>
      </c>
      <c r="I251" s="165">
        <f>+H251*F251</f>
        <v>34440922.547999993</v>
      </c>
      <c r="J251" s="141"/>
    </row>
    <row r="252" spans="1:10" x14ac:dyDescent="0.2">
      <c r="A252" s="140"/>
      <c r="B252" s="140"/>
      <c r="C252" s="205"/>
      <c r="D252" s="125"/>
      <c r="E252" s="140"/>
      <c r="F252" s="140"/>
      <c r="G252" s="140"/>
      <c r="H252" s="140"/>
      <c r="I252" s="140"/>
      <c r="J252" s="169"/>
    </row>
    <row r="253" spans="1:10" ht="15.75" customHeight="1" x14ac:dyDescent="0.2">
      <c r="A253" s="140"/>
      <c r="B253" s="140"/>
      <c r="C253" s="205">
        <v>13</v>
      </c>
      <c r="D253" s="162" t="s">
        <v>209</v>
      </c>
      <c r="E253" s="140"/>
      <c r="F253" s="140"/>
      <c r="G253" s="140"/>
      <c r="H253" s="140"/>
      <c r="I253" s="140"/>
      <c r="J253" s="172">
        <f>I254/100000</f>
        <v>321.44861044800001</v>
      </c>
    </row>
    <row r="254" spans="1:10" x14ac:dyDescent="0.2">
      <c r="A254" s="140"/>
      <c r="B254" s="140"/>
      <c r="C254" s="205"/>
      <c r="D254" s="125" t="s">
        <v>210</v>
      </c>
      <c r="E254" s="129" t="s">
        <v>406</v>
      </c>
      <c r="F254" s="286">
        <v>1</v>
      </c>
      <c r="G254" s="151" t="s">
        <v>254</v>
      </c>
      <c r="H254" s="287">
        <f>((J5+J17+J52+J68+J89+J97+J151)*100000)*0.14</f>
        <v>32144861.044799998</v>
      </c>
      <c r="I254" s="288">
        <f>+H254*F254</f>
        <v>32144861.044799998</v>
      </c>
      <c r="J254" s="141"/>
    </row>
    <row r="255" spans="1:10" x14ac:dyDescent="0.2">
      <c r="A255" s="140"/>
      <c r="B255" s="140"/>
      <c r="C255" s="205"/>
      <c r="D255" s="125" t="s">
        <v>399</v>
      </c>
      <c r="E255" s="129" t="s">
        <v>406</v>
      </c>
      <c r="F255" s="286"/>
      <c r="G255" s="151" t="s">
        <v>254</v>
      </c>
      <c r="H255" s="287"/>
      <c r="I255" s="288"/>
      <c r="J255" s="141"/>
    </row>
    <row r="256" spans="1:10" x14ac:dyDescent="0.2">
      <c r="A256" s="140"/>
      <c r="B256" s="140"/>
      <c r="C256" s="205"/>
      <c r="D256" s="125" t="s">
        <v>395</v>
      </c>
      <c r="E256" s="129" t="s">
        <v>406</v>
      </c>
      <c r="F256" s="286"/>
      <c r="G256" s="151" t="s">
        <v>254</v>
      </c>
      <c r="H256" s="287"/>
      <c r="I256" s="288"/>
      <c r="J256" s="141"/>
    </row>
    <row r="257" spans="1:12" x14ac:dyDescent="0.2">
      <c r="A257" s="140"/>
      <c r="B257" s="140"/>
      <c r="C257" s="205"/>
      <c r="D257" s="125" t="s">
        <v>400</v>
      </c>
      <c r="E257" s="129" t="s">
        <v>406</v>
      </c>
      <c r="F257" s="286"/>
      <c r="G257" s="151" t="s">
        <v>254</v>
      </c>
      <c r="H257" s="287"/>
      <c r="I257" s="288"/>
      <c r="J257" s="141"/>
    </row>
    <row r="258" spans="1:12" x14ac:dyDescent="0.2">
      <c r="A258" s="140"/>
      <c r="B258" s="140"/>
      <c r="C258" s="205"/>
      <c r="D258" s="125" t="s">
        <v>211</v>
      </c>
      <c r="E258" s="129" t="s">
        <v>406</v>
      </c>
      <c r="F258" s="286"/>
      <c r="G258" s="151" t="s">
        <v>283</v>
      </c>
      <c r="H258" s="287"/>
      <c r="I258" s="288"/>
      <c r="J258" s="141"/>
    </row>
    <row r="259" spans="1:12" x14ac:dyDescent="0.2">
      <c r="A259" s="140"/>
      <c r="B259" s="140"/>
      <c r="C259" s="205"/>
      <c r="D259" s="125" t="s">
        <v>396</v>
      </c>
      <c r="E259" s="129" t="s">
        <v>406</v>
      </c>
      <c r="F259" s="286"/>
      <c r="G259" s="151" t="s">
        <v>254</v>
      </c>
      <c r="H259" s="287"/>
      <c r="I259" s="288"/>
      <c r="J259" s="141"/>
    </row>
    <row r="260" spans="1:12" x14ac:dyDescent="0.2">
      <c r="A260" s="140"/>
      <c r="B260" s="140"/>
      <c r="C260" s="205"/>
      <c r="D260" s="125" t="s">
        <v>390</v>
      </c>
      <c r="E260" s="129" t="s">
        <v>406</v>
      </c>
      <c r="F260" s="286"/>
      <c r="G260" s="151" t="s">
        <v>283</v>
      </c>
      <c r="H260" s="287"/>
      <c r="I260" s="288"/>
      <c r="J260" s="141"/>
    </row>
    <row r="261" spans="1:12" x14ac:dyDescent="0.2">
      <c r="A261" s="140"/>
      <c r="B261" s="140"/>
      <c r="C261" s="205"/>
      <c r="D261" s="125" t="s">
        <v>397</v>
      </c>
      <c r="E261" s="129" t="s">
        <v>406</v>
      </c>
      <c r="F261" s="286"/>
      <c r="G261" s="151" t="s">
        <v>254</v>
      </c>
      <c r="H261" s="287"/>
      <c r="I261" s="288"/>
      <c r="J261" s="141"/>
    </row>
    <row r="262" spans="1:12" x14ac:dyDescent="0.2">
      <c r="A262" s="140"/>
      <c r="B262" s="140"/>
      <c r="C262" s="205"/>
      <c r="D262" s="125" t="s">
        <v>398</v>
      </c>
      <c r="E262" s="129" t="s">
        <v>406</v>
      </c>
      <c r="F262" s="286"/>
      <c r="G262" s="129" t="s">
        <v>254</v>
      </c>
      <c r="H262" s="287"/>
      <c r="I262" s="288"/>
      <c r="J262" s="141"/>
    </row>
    <row r="263" spans="1:12" x14ac:dyDescent="0.2">
      <c r="A263" s="140"/>
      <c r="B263" s="140" t="s">
        <v>57</v>
      </c>
      <c r="C263" s="205"/>
      <c r="D263" s="176" t="s">
        <v>40</v>
      </c>
      <c r="E263" s="160"/>
      <c r="F263" s="140"/>
      <c r="G263" s="140"/>
      <c r="H263" s="140"/>
      <c r="I263" s="165">
        <f>SUM(I6:I262)</f>
        <v>964916933.91279995</v>
      </c>
      <c r="J263" s="172">
        <f>SUM(J5:J262)</f>
        <v>9649.1693391279987</v>
      </c>
    </row>
    <row r="264" spans="1:12" x14ac:dyDescent="0.2">
      <c r="A264" s="140"/>
      <c r="B264" s="140"/>
      <c r="C264" s="205"/>
      <c r="D264" s="160"/>
      <c r="E264" s="160"/>
      <c r="F264" s="140"/>
      <c r="G264" s="140"/>
      <c r="H264" s="140"/>
      <c r="I264" s="140"/>
      <c r="J264" s="169"/>
    </row>
    <row r="265" spans="1:12" x14ac:dyDescent="0.2">
      <c r="A265" s="160">
        <v>884</v>
      </c>
      <c r="B265" s="171" t="s">
        <v>2</v>
      </c>
      <c r="C265" s="204"/>
      <c r="D265" s="162" t="s">
        <v>39</v>
      </c>
      <c r="E265" s="140"/>
      <c r="F265" s="140"/>
      <c r="G265" s="140"/>
      <c r="H265" s="140"/>
      <c r="I265" s="140"/>
      <c r="J265" s="169"/>
    </row>
    <row r="266" spans="1:12" x14ac:dyDescent="0.2">
      <c r="A266" s="160"/>
      <c r="B266" s="171"/>
      <c r="C266" s="204"/>
      <c r="D266" s="125" t="s">
        <v>586</v>
      </c>
      <c r="E266" s="140"/>
      <c r="F266" s="140"/>
      <c r="G266" s="140"/>
      <c r="H266" s="140"/>
      <c r="I266" s="165">
        <f>+I263*5%</f>
        <v>48245846.695639998</v>
      </c>
      <c r="J266" s="172">
        <f>I266/100000</f>
        <v>482.4584669564</v>
      </c>
    </row>
    <row r="267" spans="1:12" x14ac:dyDescent="0.2">
      <c r="A267" s="160"/>
      <c r="B267" s="171"/>
      <c r="C267" s="204"/>
      <c r="D267" s="125"/>
      <c r="E267" s="140"/>
      <c r="F267" s="140"/>
      <c r="G267" s="140"/>
      <c r="H267" s="140"/>
      <c r="I267" s="140"/>
      <c r="J267" s="169"/>
    </row>
    <row r="268" spans="1:12" ht="30" x14ac:dyDescent="0.2">
      <c r="A268" s="160"/>
      <c r="B268" s="171"/>
      <c r="C268" s="204"/>
      <c r="D268" s="206" t="s">
        <v>669</v>
      </c>
      <c r="E268" s="221"/>
      <c r="F268" s="221"/>
      <c r="G268" s="207"/>
      <c r="H268" s="207"/>
      <c r="I268" s="208">
        <f>SUM(I263:I267)</f>
        <v>1013162780.6084399</v>
      </c>
      <c r="J268" s="209">
        <f>SUM(J263:J267)</f>
        <v>10131.627806084398</v>
      </c>
    </row>
    <row r="269" spans="1:12" x14ac:dyDescent="0.2">
      <c r="A269" s="160"/>
      <c r="B269" s="171"/>
      <c r="C269" s="204"/>
      <c r="D269" s="160"/>
      <c r="E269" s="140"/>
      <c r="F269" s="140"/>
      <c r="G269" s="125"/>
      <c r="H269" s="125"/>
      <c r="I269" s="125"/>
      <c r="J269" s="174"/>
    </row>
    <row r="270" spans="1:12" ht="18" customHeight="1" x14ac:dyDescent="0.2">
      <c r="A270" s="160" t="s">
        <v>145</v>
      </c>
      <c r="B270" s="160"/>
      <c r="C270" s="204" t="s">
        <v>670</v>
      </c>
      <c r="D270" s="177" t="s">
        <v>50</v>
      </c>
      <c r="E270" s="140"/>
      <c r="F270" s="140"/>
      <c r="G270" s="125"/>
      <c r="H270" s="125"/>
      <c r="I270" s="125"/>
      <c r="J270" s="137"/>
    </row>
    <row r="271" spans="1:12" x14ac:dyDescent="0.2">
      <c r="A271" s="160">
        <v>885</v>
      </c>
      <c r="B271" s="167" t="s">
        <v>4</v>
      </c>
      <c r="C271" s="205">
        <v>1</v>
      </c>
      <c r="D271" s="162" t="s">
        <v>76</v>
      </c>
      <c r="E271" s="160"/>
      <c r="F271" s="140"/>
      <c r="G271" s="140"/>
      <c r="H271" s="140"/>
      <c r="I271" s="140"/>
      <c r="J271" s="172">
        <f>SUM(I272)/100000</f>
        <v>3200</v>
      </c>
      <c r="L271" s="128"/>
    </row>
    <row r="272" spans="1:12" ht="30" x14ac:dyDescent="0.2">
      <c r="A272" s="140"/>
      <c r="B272" s="140"/>
      <c r="C272" s="203"/>
      <c r="D272" s="138" t="s">
        <v>548</v>
      </c>
      <c r="E272" s="129" t="s">
        <v>149</v>
      </c>
      <c r="F272" s="131">
        <v>1</v>
      </c>
      <c r="G272" s="131" t="s">
        <v>254</v>
      </c>
      <c r="H272" s="145">
        <v>320000000</v>
      </c>
      <c r="I272" s="165">
        <f>+H272*F272</f>
        <v>320000000</v>
      </c>
      <c r="J272" s="137"/>
      <c r="L272" s="128"/>
    </row>
    <row r="273" spans="1:10" x14ac:dyDescent="0.2">
      <c r="A273" s="140"/>
      <c r="B273" s="140"/>
      <c r="C273" s="205"/>
      <c r="D273" s="125"/>
      <c r="E273" s="140"/>
      <c r="F273" s="140"/>
      <c r="G273" s="125"/>
      <c r="H273" s="125"/>
      <c r="I273" s="125"/>
      <c r="J273" s="137"/>
    </row>
    <row r="274" spans="1:10" x14ac:dyDescent="0.2">
      <c r="A274" s="160">
        <v>885</v>
      </c>
      <c r="B274" s="171" t="s">
        <v>3</v>
      </c>
      <c r="C274" s="205">
        <v>2</v>
      </c>
      <c r="D274" s="162" t="s">
        <v>265</v>
      </c>
      <c r="E274" s="160"/>
      <c r="F274" s="160"/>
      <c r="G274" s="162"/>
      <c r="H274" s="162"/>
      <c r="I274" s="162"/>
      <c r="J274" s="174"/>
    </row>
    <row r="275" spans="1:10" x14ac:dyDescent="0.2">
      <c r="A275" s="160"/>
      <c r="B275" s="171"/>
      <c r="C275" s="204"/>
      <c r="D275" s="162" t="s">
        <v>266</v>
      </c>
      <c r="E275" s="160"/>
      <c r="F275" s="160"/>
      <c r="G275" s="162"/>
      <c r="H275" s="162"/>
      <c r="I275" s="162"/>
      <c r="J275" s="174">
        <f>SUM(I276)/100000</f>
        <v>500</v>
      </c>
    </row>
    <row r="276" spans="1:10" ht="30" x14ac:dyDescent="0.2">
      <c r="A276" s="140"/>
      <c r="B276" s="140"/>
      <c r="C276" s="204"/>
      <c r="D276" s="126" t="s">
        <v>404</v>
      </c>
      <c r="E276" s="191" t="s">
        <v>149</v>
      </c>
      <c r="F276" s="286">
        <v>1</v>
      </c>
      <c r="G276" s="286" t="s">
        <v>254</v>
      </c>
      <c r="H276" s="289">
        <v>50000000</v>
      </c>
      <c r="I276" s="288">
        <f>+H276*F276</f>
        <v>50000000</v>
      </c>
      <c r="J276" s="169"/>
    </row>
    <row r="277" spans="1:10" ht="15.75" customHeight="1" x14ac:dyDescent="0.2">
      <c r="A277" s="140"/>
      <c r="B277" s="140" t="s">
        <v>5</v>
      </c>
      <c r="C277" s="205"/>
      <c r="D277" s="125" t="s">
        <v>198</v>
      </c>
      <c r="E277" s="191" t="s">
        <v>149</v>
      </c>
      <c r="F277" s="286"/>
      <c r="G277" s="286"/>
      <c r="H277" s="289"/>
      <c r="I277" s="288"/>
      <c r="J277" s="169"/>
    </row>
    <row r="278" spans="1:10" x14ac:dyDescent="0.2">
      <c r="A278" s="140"/>
      <c r="B278" s="140"/>
      <c r="C278" s="205"/>
      <c r="D278" s="162"/>
      <c r="E278" s="160"/>
      <c r="F278" s="140"/>
      <c r="G278" s="140"/>
      <c r="H278" s="140"/>
      <c r="I278" s="140"/>
      <c r="J278" s="169"/>
    </row>
    <row r="279" spans="1:10" x14ac:dyDescent="0.2">
      <c r="A279" s="160">
        <v>886</v>
      </c>
      <c r="B279" s="171" t="s">
        <v>4</v>
      </c>
      <c r="C279" s="205">
        <v>3</v>
      </c>
      <c r="D279" s="162" t="s">
        <v>13</v>
      </c>
      <c r="E279" s="140"/>
      <c r="F279" s="140"/>
      <c r="G279" s="125"/>
      <c r="H279" s="125"/>
      <c r="I279" s="125"/>
      <c r="J279" s="174">
        <f>SUM(I280:I290)/100000</f>
        <v>1401</v>
      </c>
    </row>
    <row r="280" spans="1:10" ht="15.75" x14ac:dyDescent="0.2">
      <c r="A280" s="140"/>
      <c r="B280" s="153" t="s">
        <v>5</v>
      </c>
      <c r="C280" s="204"/>
      <c r="D280" s="154" t="s">
        <v>597</v>
      </c>
      <c r="E280" s="153" t="s">
        <v>598</v>
      </c>
      <c r="F280" s="153">
        <v>2</v>
      </c>
      <c r="G280" s="151" t="s">
        <v>375</v>
      </c>
      <c r="H280" s="153">
        <f>130000000/2</f>
        <v>65000000</v>
      </c>
      <c r="I280" s="165">
        <f t="shared" ref="I280:I290" si="17">+H280*F280</f>
        <v>130000000</v>
      </c>
      <c r="J280" s="137"/>
    </row>
    <row r="281" spans="1:10" ht="15.75" x14ac:dyDescent="0.2">
      <c r="A281" s="140"/>
      <c r="B281" s="153" t="s">
        <v>5</v>
      </c>
      <c r="C281" s="218"/>
      <c r="D281" s="154" t="s">
        <v>529</v>
      </c>
      <c r="E281" s="153" t="s">
        <v>283</v>
      </c>
      <c r="F281" s="153">
        <v>2</v>
      </c>
      <c r="G281" s="151" t="s">
        <v>254</v>
      </c>
      <c r="H281" s="155">
        <v>2000000</v>
      </c>
      <c r="I281" s="165">
        <f t="shared" si="17"/>
        <v>4000000</v>
      </c>
      <c r="J281" s="137"/>
    </row>
    <row r="282" spans="1:10" ht="15.75" x14ac:dyDescent="0.2">
      <c r="A282" s="140"/>
      <c r="B282" s="153" t="s">
        <v>5</v>
      </c>
      <c r="C282" s="218"/>
      <c r="D282" s="154" t="s">
        <v>599</v>
      </c>
      <c r="E282" s="153" t="s">
        <v>283</v>
      </c>
      <c r="F282" s="153">
        <v>1</v>
      </c>
      <c r="G282" s="151" t="s">
        <v>255</v>
      </c>
      <c r="H282" s="155">
        <v>1500000</v>
      </c>
      <c r="I282" s="165">
        <f t="shared" si="17"/>
        <v>1500000</v>
      </c>
      <c r="J282" s="137"/>
    </row>
    <row r="283" spans="1:10" ht="15.75" x14ac:dyDescent="0.2">
      <c r="A283" s="140"/>
      <c r="B283" s="153" t="s">
        <v>5</v>
      </c>
      <c r="C283" s="218"/>
      <c r="D283" s="154" t="s">
        <v>600</v>
      </c>
      <c r="E283" s="153" t="s">
        <v>283</v>
      </c>
      <c r="F283" s="153">
        <v>1</v>
      </c>
      <c r="G283" s="151" t="s">
        <v>254</v>
      </c>
      <c r="H283" s="155">
        <v>300000</v>
      </c>
      <c r="I283" s="165">
        <f t="shared" si="17"/>
        <v>300000</v>
      </c>
      <c r="J283" s="137"/>
    </row>
    <row r="284" spans="1:10" ht="15.75" x14ac:dyDescent="0.2">
      <c r="A284" s="140"/>
      <c r="B284" s="153" t="s">
        <v>5</v>
      </c>
      <c r="C284" s="218"/>
      <c r="D284" s="154" t="s">
        <v>601</v>
      </c>
      <c r="E284" s="153" t="s">
        <v>283</v>
      </c>
      <c r="F284" s="153">
        <v>1</v>
      </c>
      <c r="G284" s="151" t="s">
        <v>254</v>
      </c>
      <c r="H284" s="155">
        <v>500000</v>
      </c>
      <c r="I284" s="165">
        <f t="shared" si="17"/>
        <v>500000</v>
      </c>
      <c r="J284" s="137"/>
    </row>
    <row r="285" spans="1:10" ht="15.75" x14ac:dyDescent="0.2">
      <c r="A285" s="140"/>
      <c r="B285" s="153" t="s">
        <v>5</v>
      </c>
      <c r="C285" s="218"/>
      <c r="D285" s="154" t="s">
        <v>602</v>
      </c>
      <c r="E285" s="153" t="s">
        <v>283</v>
      </c>
      <c r="F285" s="153">
        <v>1</v>
      </c>
      <c r="G285" s="151" t="s">
        <v>375</v>
      </c>
      <c r="H285" s="155">
        <v>500000</v>
      </c>
      <c r="I285" s="165">
        <f t="shared" si="17"/>
        <v>500000</v>
      </c>
      <c r="J285" s="137"/>
    </row>
    <row r="286" spans="1:10" ht="15.75" x14ac:dyDescent="0.2">
      <c r="A286" s="140"/>
      <c r="B286" s="153" t="s">
        <v>5</v>
      </c>
      <c r="C286" s="218"/>
      <c r="D286" s="154" t="s">
        <v>603</v>
      </c>
      <c r="E286" s="153" t="s">
        <v>283</v>
      </c>
      <c r="F286" s="153">
        <v>1</v>
      </c>
      <c r="G286" s="151" t="s">
        <v>254</v>
      </c>
      <c r="H286" s="155">
        <v>200000</v>
      </c>
      <c r="I286" s="165">
        <f t="shared" si="17"/>
        <v>200000</v>
      </c>
      <c r="J286" s="137"/>
    </row>
    <row r="287" spans="1:10" ht="15.75" x14ac:dyDescent="0.2">
      <c r="A287" s="140"/>
      <c r="B287" s="153" t="s">
        <v>5</v>
      </c>
      <c r="C287" s="218"/>
      <c r="D287" s="154" t="s">
        <v>530</v>
      </c>
      <c r="E287" s="153" t="s">
        <v>254</v>
      </c>
      <c r="F287" s="153">
        <v>1</v>
      </c>
      <c r="G287" s="151" t="s">
        <v>255</v>
      </c>
      <c r="H287" s="155">
        <v>1300000</v>
      </c>
      <c r="I287" s="165">
        <f t="shared" si="17"/>
        <v>1300000</v>
      </c>
      <c r="J287" s="137"/>
    </row>
    <row r="288" spans="1:10" ht="15.75" x14ac:dyDescent="0.2">
      <c r="A288" s="140"/>
      <c r="B288" s="153" t="s">
        <v>5</v>
      </c>
      <c r="C288" s="218"/>
      <c r="D288" s="154" t="s">
        <v>531</v>
      </c>
      <c r="E288" s="153" t="s">
        <v>254</v>
      </c>
      <c r="F288" s="153">
        <v>1</v>
      </c>
      <c r="G288" s="151" t="s">
        <v>254</v>
      </c>
      <c r="H288" s="155">
        <v>750000</v>
      </c>
      <c r="I288" s="165">
        <f t="shared" si="17"/>
        <v>750000</v>
      </c>
      <c r="J288" s="137"/>
    </row>
    <row r="289" spans="1:10" ht="15.75" x14ac:dyDescent="0.2">
      <c r="A289" s="140"/>
      <c r="B289" s="153" t="s">
        <v>5</v>
      </c>
      <c r="C289" s="218"/>
      <c r="D289" s="154" t="s">
        <v>604</v>
      </c>
      <c r="E289" s="153" t="s">
        <v>283</v>
      </c>
      <c r="F289" s="153">
        <v>1</v>
      </c>
      <c r="G289" s="151" t="s">
        <v>254</v>
      </c>
      <c r="H289" s="155">
        <v>300000</v>
      </c>
      <c r="I289" s="165">
        <f t="shared" si="17"/>
        <v>300000</v>
      </c>
      <c r="J289" s="137"/>
    </row>
    <row r="290" spans="1:10" ht="15.75" x14ac:dyDescent="0.2">
      <c r="A290" s="140"/>
      <c r="B290" s="153" t="s">
        <v>5</v>
      </c>
      <c r="C290" s="218"/>
      <c r="D290" s="154" t="s">
        <v>532</v>
      </c>
      <c r="E290" s="153" t="s">
        <v>254</v>
      </c>
      <c r="F290" s="153">
        <v>1</v>
      </c>
      <c r="G290" s="151" t="s">
        <v>254</v>
      </c>
      <c r="H290" s="155">
        <v>750000</v>
      </c>
      <c r="I290" s="165">
        <f t="shared" si="17"/>
        <v>750000</v>
      </c>
      <c r="J290" s="137"/>
    </row>
    <row r="291" spans="1:10" ht="15.75" x14ac:dyDescent="0.2">
      <c r="A291" s="140"/>
      <c r="B291" s="140"/>
      <c r="C291" s="218"/>
      <c r="D291" s="125"/>
      <c r="E291" s="140"/>
      <c r="F291" s="140"/>
      <c r="G291" s="140"/>
      <c r="H291" s="140"/>
      <c r="I291" s="140"/>
      <c r="J291" s="169"/>
    </row>
    <row r="292" spans="1:10" x14ac:dyDescent="0.2">
      <c r="A292" s="160">
        <v>889</v>
      </c>
      <c r="B292" s="171" t="s">
        <v>4</v>
      </c>
      <c r="C292" s="205">
        <v>4</v>
      </c>
      <c r="D292" s="162" t="s">
        <v>14</v>
      </c>
      <c r="E292" s="160"/>
      <c r="F292" s="140"/>
      <c r="G292" s="140"/>
      <c r="H292" s="140"/>
      <c r="I292" s="140"/>
      <c r="J292" s="172">
        <f>SUM(I293:I299)/100000</f>
        <v>393</v>
      </c>
    </row>
    <row r="293" spans="1:10" x14ac:dyDescent="0.2">
      <c r="A293" s="140"/>
      <c r="B293" s="140"/>
      <c r="C293" s="204"/>
      <c r="D293" s="138" t="s">
        <v>533</v>
      </c>
      <c r="E293" s="191" t="s">
        <v>152</v>
      </c>
      <c r="F293" s="140">
        <v>2</v>
      </c>
      <c r="G293" s="151" t="s">
        <v>375</v>
      </c>
      <c r="H293" s="141">
        <v>3000000</v>
      </c>
      <c r="I293" s="165">
        <f t="shared" ref="I293:I299" si="18">+H293*F293</f>
        <v>6000000</v>
      </c>
      <c r="J293" s="141"/>
    </row>
    <row r="294" spans="1:10" ht="30" x14ac:dyDescent="0.2">
      <c r="A294" s="140"/>
      <c r="B294" s="140"/>
      <c r="C294" s="205"/>
      <c r="D294" s="138" t="s">
        <v>534</v>
      </c>
      <c r="E294" s="150" t="s">
        <v>159</v>
      </c>
      <c r="F294" s="139">
        <v>3</v>
      </c>
      <c r="G294" s="151" t="s">
        <v>375</v>
      </c>
      <c r="H294" s="141">
        <v>300000</v>
      </c>
      <c r="I294" s="165">
        <f t="shared" si="18"/>
        <v>900000</v>
      </c>
      <c r="J294" s="141"/>
    </row>
    <row r="295" spans="1:10" x14ac:dyDescent="0.2">
      <c r="A295" s="140"/>
      <c r="B295" s="140"/>
      <c r="C295" s="205"/>
      <c r="D295" s="138" t="s">
        <v>535</v>
      </c>
      <c r="E295" s="191" t="s">
        <v>152</v>
      </c>
      <c r="F295" s="140">
        <v>2</v>
      </c>
      <c r="G295" s="151" t="s">
        <v>375</v>
      </c>
      <c r="H295" s="137">
        <v>4000000</v>
      </c>
      <c r="I295" s="165">
        <f t="shared" si="18"/>
        <v>8000000</v>
      </c>
      <c r="J295" s="141"/>
    </row>
    <row r="296" spans="1:10" ht="30" x14ac:dyDescent="0.2">
      <c r="A296" s="140"/>
      <c r="B296" s="140"/>
      <c r="C296" s="205"/>
      <c r="D296" s="138" t="s">
        <v>536</v>
      </c>
      <c r="E296" s="150" t="s">
        <v>356</v>
      </c>
      <c r="F296" s="139">
        <v>2</v>
      </c>
      <c r="G296" s="151" t="s">
        <v>375</v>
      </c>
      <c r="H296" s="137">
        <v>600000</v>
      </c>
      <c r="I296" s="165">
        <f t="shared" si="18"/>
        <v>1200000</v>
      </c>
      <c r="J296" s="141"/>
    </row>
    <row r="297" spans="1:10" x14ac:dyDescent="0.2">
      <c r="A297" s="140"/>
      <c r="B297" s="140"/>
      <c r="C297" s="205"/>
      <c r="D297" s="138" t="s">
        <v>537</v>
      </c>
      <c r="E297" s="150" t="s">
        <v>356</v>
      </c>
      <c r="F297" s="139">
        <v>2</v>
      </c>
      <c r="G297" s="151" t="s">
        <v>375</v>
      </c>
      <c r="H297" s="137">
        <v>600000</v>
      </c>
      <c r="I297" s="165">
        <f t="shared" si="18"/>
        <v>1200000</v>
      </c>
      <c r="J297" s="141"/>
    </row>
    <row r="298" spans="1:10" ht="30" x14ac:dyDescent="0.2">
      <c r="A298" s="140"/>
      <c r="B298" s="140"/>
      <c r="C298" s="205"/>
      <c r="D298" s="138" t="s">
        <v>554</v>
      </c>
      <c r="E298" s="191" t="s">
        <v>553</v>
      </c>
      <c r="F298" s="140">
        <v>2</v>
      </c>
      <c r="G298" s="151" t="s">
        <v>375</v>
      </c>
      <c r="H298" s="137">
        <v>7500000</v>
      </c>
      <c r="I298" s="165">
        <f t="shared" si="18"/>
        <v>15000000</v>
      </c>
      <c r="J298" s="141"/>
    </row>
    <row r="299" spans="1:10" x14ac:dyDescent="0.2">
      <c r="A299" s="140"/>
      <c r="B299" s="140"/>
      <c r="C299" s="205"/>
      <c r="D299" s="138" t="s">
        <v>538</v>
      </c>
      <c r="E299" s="139"/>
      <c r="F299" s="139">
        <v>1</v>
      </c>
      <c r="G299" s="151"/>
      <c r="H299" s="137">
        <v>7000000</v>
      </c>
      <c r="I299" s="165">
        <f t="shared" si="18"/>
        <v>7000000</v>
      </c>
      <c r="J299" s="141"/>
    </row>
    <row r="300" spans="1:10" x14ac:dyDescent="0.2">
      <c r="A300" s="140"/>
      <c r="B300" s="140" t="s">
        <v>57</v>
      </c>
      <c r="C300" s="205"/>
      <c r="D300" s="125"/>
      <c r="E300" s="140"/>
      <c r="F300" s="140"/>
      <c r="G300" s="140"/>
      <c r="H300" s="140"/>
      <c r="I300" s="140"/>
      <c r="J300" s="169"/>
    </row>
    <row r="301" spans="1:10" x14ac:dyDescent="0.2">
      <c r="A301" s="135">
        <v>888</v>
      </c>
      <c r="B301" s="167" t="s">
        <v>2</v>
      </c>
      <c r="C301" s="203">
        <v>5</v>
      </c>
      <c r="D301" s="161" t="s">
        <v>15</v>
      </c>
      <c r="E301" s="190"/>
      <c r="F301" s="191"/>
      <c r="G301" s="151"/>
      <c r="H301" s="151"/>
      <c r="I301" s="151"/>
      <c r="J301" s="164">
        <f>SUM(I302:I305)/100000</f>
        <v>191.7</v>
      </c>
    </row>
    <row r="302" spans="1:10" ht="45" x14ac:dyDescent="0.2">
      <c r="A302" s="151"/>
      <c r="B302" s="151"/>
      <c r="C302" s="203"/>
      <c r="D302" s="132" t="s">
        <v>581</v>
      </c>
      <c r="E302" s="191" t="s">
        <v>461</v>
      </c>
      <c r="F302" s="191">
        <v>2</v>
      </c>
      <c r="G302" s="151" t="s">
        <v>375</v>
      </c>
      <c r="H302" s="115">
        <v>7500000</v>
      </c>
      <c r="I302" s="165">
        <f>+H302*F302</f>
        <v>15000000</v>
      </c>
      <c r="J302" s="170"/>
    </row>
    <row r="303" spans="1:10" x14ac:dyDescent="0.2">
      <c r="A303" s="151"/>
      <c r="B303" s="151"/>
      <c r="C303" s="202"/>
      <c r="D303" s="126" t="s">
        <v>562</v>
      </c>
      <c r="E303" s="129" t="s">
        <v>406</v>
      </c>
      <c r="F303" s="191">
        <v>2</v>
      </c>
      <c r="G303" s="151" t="s">
        <v>375</v>
      </c>
      <c r="H303" s="115">
        <v>700000</v>
      </c>
      <c r="I303" s="165">
        <f>+H303*F303</f>
        <v>1400000</v>
      </c>
      <c r="J303" s="170"/>
    </row>
    <row r="304" spans="1:10" x14ac:dyDescent="0.2">
      <c r="A304" s="151"/>
      <c r="B304" s="151"/>
      <c r="C304" s="202"/>
      <c r="D304" s="119" t="s">
        <v>462</v>
      </c>
      <c r="E304" s="120" t="s">
        <v>160</v>
      </c>
      <c r="F304" s="121">
        <v>1</v>
      </c>
      <c r="G304" s="120" t="s">
        <v>255</v>
      </c>
      <c r="H304" s="115">
        <v>270000</v>
      </c>
      <c r="I304" s="165">
        <f>+H304*F304</f>
        <v>270000</v>
      </c>
      <c r="J304" s="170"/>
    </row>
    <row r="305" spans="1:10" x14ac:dyDescent="0.2">
      <c r="A305" s="151"/>
      <c r="B305" s="151"/>
      <c r="C305" s="202"/>
      <c r="D305" s="126" t="s">
        <v>327</v>
      </c>
      <c r="E305" s="129" t="s">
        <v>406</v>
      </c>
      <c r="F305" s="191">
        <v>1</v>
      </c>
      <c r="G305" s="151" t="s">
        <v>254</v>
      </c>
      <c r="H305" s="115">
        <v>2500000</v>
      </c>
      <c r="I305" s="165">
        <f>+H305*F305</f>
        <v>2500000</v>
      </c>
      <c r="J305" s="170"/>
    </row>
    <row r="306" spans="1:10" x14ac:dyDescent="0.2">
      <c r="A306" s="140"/>
      <c r="B306" s="140"/>
      <c r="C306" s="202"/>
      <c r="D306" s="125"/>
      <c r="E306" s="140"/>
      <c r="F306" s="140"/>
      <c r="G306" s="140"/>
      <c r="H306" s="140"/>
      <c r="I306" s="125"/>
      <c r="J306" s="137"/>
    </row>
    <row r="307" spans="1:10" x14ac:dyDescent="0.2">
      <c r="A307" s="135">
        <v>776</v>
      </c>
      <c r="B307" s="167" t="s">
        <v>3</v>
      </c>
      <c r="C307" s="205">
        <v>6</v>
      </c>
      <c r="D307" s="161" t="s">
        <v>146</v>
      </c>
      <c r="E307" s="190"/>
      <c r="F307" s="191"/>
      <c r="G307" s="151"/>
      <c r="H307" s="151"/>
      <c r="I307" s="126"/>
      <c r="J307" s="168">
        <f>SUM(I308 + I309)/100000</f>
        <v>350</v>
      </c>
    </row>
    <row r="308" spans="1:10" ht="45" x14ac:dyDescent="0.2">
      <c r="A308" s="135"/>
      <c r="B308" s="151"/>
      <c r="C308" s="203"/>
      <c r="D308" s="132" t="s">
        <v>267</v>
      </c>
      <c r="E308" s="129" t="s">
        <v>406</v>
      </c>
      <c r="F308" s="191">
        <v>1</v>
      </c>
      <c r="G308" s="151" t="s">
        <v>254</v>
      </c>
      <c r="H308" s="115">
        <v>25000000</v>
      </c>
      <c r="I308" s="165">
        <f>+H308*F308</f>
        <v>25000000</v>
      </c>
      <c r="J308" s="170"/>
    </row>
    <row r="309" spans="1:10" x14ac:dyDescent="0.2">
      <c r="A309" s="151"/>
      <c r="B309" s="151"/>
      <c r="C309" s="202"/>
      <c r="D309" s="132" t="s">
        <v>394</v>
      </c>
      <c r="E309" s="129" t="s">
        <v>406</v>
      </c>
      <c r="F309" s="191">
        <v>1</v>
      </c>
      <c r="G309" s="151" t="s">
        <v>254</v>
      </c>
      <c r="H309" s="115">
        <v>10000000</v>
      </c>
      <c r="I309" s="165">
        <f>+H309*F309</f>
        <v>10000000</v>
      </c>
      <c r="J309" s="170"/>
    </row>
    <row r="310" spans="1:10" x14ac:dyDescent="0.2">
      <c r="A310" s="140"/>
      <c r="B310" s="140"/>
      <c r="C310" s="202"/>
      <c r="D310" s="162"/>
      <c r="E310" s="160"/>
      <c r="F310" s="140"/>
      <c r="G310" s="140"/>
      <c r="H310" s="140"/>
      <c r="I310" s="125"/>
      <c r="J310" s="137"/>
    </row>
    <row r="311" spans="1:10" x14ac:dyDescent="0.2">
      <c r="A311" s="135">
        <v>890</v>
      </c>
      <c r="B311" s="167" t="s">
        <v>2</v>
      </c>
      <c r="C311" s="203">
        <v>7</v>
      </c>
      <c r="D311" s="161" t="s">
        <v>77</v>
      </c>
      <c r="E311" s="190"/>
      <c r="F311" s="191"/>
      <c r="G311" s="151"/>
      <c r="H311" s="151"/>
      <c r="I311" s="126"/>
      <c r="J311" s="168">
        <f>SUM(I312:I324)/100000</f>
        <v>775</v>
      </c>
    </row>
    <row r="312" spans="1:10" x14ac:dyDescent="0.2">
      <c r="A312" s="135"/>
      <c r="B312" s="151"/>
      <c r="C312" s="203"/>
      <c r="D312" s="142" t="s">
        <v>557</v>
      </c>
      <c r="E312" s="191" t="s">
        <v>255</v>
      </c>
      <c r="F312" s="191">
        <v>2</v>
      </c>
      <c r="G312" s="151"/>
      <c r="H312" s="115">
        <v>3500000</v>
      </c>
      <c r="I312" s="165">
        <f t="shared" ref="I312:I324" si="19">+H312*F312</f>
        <v>7000000</v>
      </c>
      <c r="J312" s="168"/>
    </row>
    <row r="313" spans="1:10" x14ac:dyDescent="0.2">
      <c r="A313" s="135"/>
      <c r="B313" s="151"/>
      <c r="C313" s="202"/>
      <c r="D313" s="142" t="s">
        <v>651</v>
      </c>
      <c r="E313" s="191" t="s">
        <v>255</v>
      </c>
      <c r="F313" s="191">
        <v>2</v>
      </c>
      <c r="G313" s="151"/>
      <c r="H313" s="115">
        <v>6000000</v>
      </c>
      <c r="I313" s="165">
        <f t="shared" si="19"/>
        <v>12000000</v>
      </c>
      <c r="J313" s="168"/>
    </row>
    <row r="314" spans="1:10" x14ac:dyDescent="0.2">
      <c r="A314" s="151"/>
      <c r="B314" s="151"/>
      <c r="C314" s="202"/>
      <c r="D314" s="126" t="s">
        <v>671</v>
      </c>
      <c r="E314" s="191" t="s">
        <v>255</v>
      </c>
      <c r="F314" s="191">
        <v>1</v>
      </c>
      <c r="G314" s="151"/>
      <c r="H314" s="115">
        <v>1000000</v>
      </c>
      <c r="I314" s="165">
        <f t="shared" si="19"/>
        <v>1000000</v>
      </c>
      <c r="J314" s="170"/>
    </row>
    <row r="315" spans="1:10" x14ac:dyDescent="0.2">
      <c r="A315" s="151"/>
      <c r="B315" s="151"/>
      <c r="C315" s="202"/>
      <c r="D315" s="142" t="s">
        <v>558</v>
      </c>
      <c r="E315" s="191" t="s">
        <v>254</v>
      </c>
      <c r="F315" s="191">
        <v>1</v>
      </c>
      <c r="G315" s="151"/>
      <c r="H315" s="115">
        <v>4000000</v>
      </c>
      <c r="I315" s="165">
        <f t="shared" si="19"/>
        <v>4000000</v>
      </c>
      <c r="J315" s="170"/>
    </row>
    <row r="316" spans="1:10" ht="30" x14ac:dyDescent="0.2">
      <c r="A316" s="151"/>
      <c r="B316" s="151"/>
      <c r="C316" s="202"/>
      <c r="D316" s="126" t="s">
        <v>559</v>
      </c>
      <c r="E316" s="191" t="s">
        <v>254</v>
      </c>
      <c r="F316" s="191">
        <v>1</v>
      </c>
      <c r="G316" s="151"/>
      <c r="H316" s="115">
        <v>6000000</v>
      </c>
      <c r="I316" s="165">
        <f t="shared" si="19"/>
        <v>6000000</v>
      </c>
      <c r="J316" s="170"/>
    </row>
    <row r="317" spans="1:10" x14ac:dyDescent="0.2">
      <c r="A317" s="151"/>
      <c r="B317" s="151"/>
      <c r="C317" s="202"/>
      <c r="D317" s="126" t="s">
        <v>289</v>
      </c>
      <c r="E317" s="191" t="s">
        <v>254</v>
      </c>
      <c r="F317" s="191">
        <v>1</v>
      </c>
      <c r="G317" s="151"/>
      <c r="H317" s="115">
        <v>5000000</v>
      </c>
      <c r="I317" s="165">
        <f t="shared" si="19"/>
        <v>5000000</v>
      </c>
      <c r="J317" s="170"/>
    </row>
    <row r="318" spans="1:10" ht="30" x14ac:dyDescent="0.2">
      <c r="A318" s="151"/>
      <c r="B318" s="151"/>
      <c r="C318" s="202"/>
      <c r="D318" s="126" t="s">
        <v>556</v>
      </c>
      <c r="E318" s="191" t="s">
        <v>254</v>
      </c>
      <c r="F318" s="191">
        <v>1</v>
      </c>
      <c r="G318" s="151"/>
      <c r="H318" s="115">
        <v>7000000</v>
      </c>
      <c r="I318" s="165">
        <f t="shared" si="19"/>
        <v>7000000</v>
      </c>
      <c r="J318" s="170"/>
    </row>
    <row r="319" spans="1:10" x14ac:dyDescent="0.2">
      <c r="A319" s="151"/>
      <c r="B319" s="151"/>
      <c r="C319" s="202"/>
      <c r="D319" s="126" t="s">
        <v>214</v>
      </c>
      <c r="E319" s="191" t="s">
        <v>254</v>
      </c>
      <c r="F319" s="191">
        <v>1</v>
      </c>
      <c r="G319" s="151"/>
      <c r="H319" s="115">
        <v>3000000</v>
      </c>
      <c r="I319" s="165">
        <f t="shared" si="19"/>
        <v>3000000</v>
      </c>
      <c r="J319" s="170"/>
    </row>
    <row r="320" spans="1:10" x14ac:dyDescent="0.2">
      <c r="A320" s="151"/>
      <c r="B320" s="151"/>
      <c r="C320" s="202"/>
      <c r="D320" s="126" t="s">
        <v>330</v>
      </c>
      <c r="E320" s="191" t="s">
        <v>254</v>
      </c>
      <c r="F320" s="191">
        <v>1</v>
      </c>
      <c r="G320" s="151"/>
      <c r="H320" s="115">
        <v>3000000</v>
      </c>
      <c r="I320" s="165">
        <f t="shared" si="19"/>
        <v>3000000</v>
      </c>
      <c r="J320" s="170"/>
    </row>
    <row r="321" spans="1:13" ht="60" x14ac:dyDescent="0.2">
      <c r="A321" s="151"/>
      <c r="B321" s="151"/>
      <c r="C321" s="202"/>
      <c r="D321" s="126" t="s">
        <v>568</v>
      </c>
      <c r="E321" s="191" t="s">
        <v>254</v>
      </c>
      <c r="F321" s="191">
        <v>1</v>
      </c>
      <c r="G321" s="151"/>
      <c r="H321" s="115">
        <v>500000</v>
      </c>
      <c r="I321" s="165">
        <f t="shared" si="19"/>
        <v>500000</v>
      </c>
      <c r="J321" s="170"/>
    </row>
    <row r="322" spans="1:13" x14ac:dyDescent="0.2">
      <c r="A322" s="151"/>
      <c r="B322" s="151"/>
      <c r="C322" s="202"/>
      <c r="D322" s="126" t="s">
        <v>268</v>
      </c>
      <c r="E322" s="191" t="s">
        <v>254</v>
      </c>
      <c r="F322" s="191">
        <v>1</v>
      </c>
      <c r="G322" s="151"/>
      <c r="H322" s="115">
        <v>3000000</v>
      </c>
      <c r="I322" s="165">
        <f t="shared" si="19"/>
        <v>3000000</v>
      </c>
      <c r="J322" s="170"/>
    </row>
    <row r="323" spans="1:13" ht="15.75" customHeight="1" x14ac:dyDescent="0.2">
      <c r="A323" s="151"/>
      <c r="B323" s="151"/>
      <c r="C323" s="202"/>
      <c r="D323" s="126" t="s">
        <v>245</v>
      </c>
      <c r="E323" s="191" t="s">
        <v>328</v>
      </c>
      <c r="F323" s="191">
        <v>2</v>
      </c>
      <c r="G323" s="151"/>
      <c r="H323" s="115">
        <v>12000000</v>
      </c>
      <c r="I323" s="165">
        <f t="shared" si="19"/>
        <v>24000000</v>
      </c>
      <c r="J323" s="170"/>
      <c r="K323" s="285"/>
      <c r="L323" s="285"/>
      <c r="M323" s="285"/>
    </row>
    <row r="324" spans="1:13" x14ac:dyDescent="0.2">
      <c r="A324" s="151"/>
      <c r="B324" s="151"/>
      <c r="C324" s="202"/>
      <c r="D324" s="126" t="s">
        <v>166</v>
      </c>
      <c r="E324" s="191" t="s">
        <v>254</v>
      </c>
      <c r="F324" s="191">
        <v>1</v>
      </c>
      <c r="G324" s="151"/>
      <c r="H324" s="115">
        <v>2000000</v>
      </c>
      <c r="I324" s="165">
        <f t="shared" si="19"/>
        <v>2000000</v>
      </c>
      <c r="J324" s="170"/>
    </row>
    <row r="325" spans="1:13" x14ac:dyDescent="0.2">
      <c r="A325" s="151"/>
      <c r="B325" s="151"/>
      <c r="C325" s="202"/>
      <c r="D325" s="126" t="s">
        <v>212</v>
      </c>
      <c r="E325" s="191"/>
      <c r="F325" s="191"/>
      <c r="G325" s="151"/>
      <c r="H325" s="115"/>
      <c r="I325" s="165"/>
      <c r="J325" s="178"/>
    </row>
    <row r="326" spans="1:13" x14ac:dyDescent="0.2">
      <c r="A326" s="151"/>
      <c r="B326" s="151"/>
      <c r="C326" s="202"/>
      <c r="D326" s="133" t="s">
        <v>555</v>
      </c>
      <c r="E326" s="191"/>
      <c r="F326" s="191"/>
      <c r="G326" s="151"/>
      <c r="H326" s="115"/>
      <c r="I326" s="165"/>
      <c r="J326" s="178"/>
    </row>
    <row r="327" spans="1:13" x14ac:dyDescent="0.2">
      <c r="A327" s="151"/>
      <c r="B327" s="151"/>
      <c r="C327" s="202"/>
      <c r="D327" s="126" t="s">
        <v>213</v>
      </c>
      <c r="E327" s="191"/>
      <c r="F327" s="191"/>
      <c r="G327" s="151"/>
      <c r="H327" s="115"/>
      <c r="I327" s="165"/>
      <c r="J327" s="178"/>
    </row>
    <row r="328" spans="1:13" x14ac:dyDescent="0.2">
      <c r="A328" s="151"/>
      <c r="B328" s="151"/>
      <c r="C328" s="202"/>
      <c r="D328" s="126" t="s">
        <v>167</v>
      </c>
      <c r="E328" s="191"/>
      <c r="F328" s="191"/>
      <c r="G328" s="151"/>
      <c r="H328" s="115"/>
      <c r="I328" s="165"/>
      <c r="J328" s="178"/>
    </row>
    <row r="329" spans="1:13" x14ac:dyDescent="0.2">
      <c r="A329" s="151"/>
      <c r="B329" s="151"/>
      <c r="C329" s="202"/>
      <c r="D329" s="126" t="s">
        <v>388</v>
      </c>
      <c r="E329" s="191"/>
      <c r="F329" s="191"/>
      <c r="G329" s="151"/>
      <c r="H329" s="115"/>
      <c r="I329" s="165"/>
      <c r="J329" s="178"/>
    </row>
    <row r="330" spans="1:13" x14ac:dyDescent="0.2">
      <c r="A330" s="151"/>
      <c r="B330" s="151"/>
      <c r="C330" s="202"/>
      <c r="D330" s="126"/>
      <c r="E330" s="191"/>
      <c r="F330" s="191"/>
      <c r="G330" s="151"/>
      <c r="H330" s="115"/>
      <c r="I330" s="165"/>
      <c r="J330" s="178"/>
    </row>
    <row r="331" spans="1:13" ht="15.75" x14ac:dyDescent="0.2">
      <c r="A331" s="151"/>
      <c r="B331" s="151" t="s">
        <v>5</v>
      </c>
      <c r="C331" s="202">
        <v>8</v>
      </c>
      <c r="D331" s="146" t="s">
        <v>566</v>
      </c>
      <c r="E331" s="147" t="s">
        <v>254</v>
      </c>
      <c r="F331" s="147">
        <v>1</v>
      </c>
      <c r="G331" s="148" t="s">
        <v>406</v>
      </c>
      <c r="H331" s="115">
        <v>20000000</v>
      </c>
      <c r="I331" s="179">
        <f>F331*H331</f>
        <v>20000000</v>
      </c>
      <c r="J331" s="180">
        <f>I331/100000</f>
        <v>200</v>
      </c>
    </row>
    <row r="332" spans="1:13" x14ac:dyDescent="0.2">
      <c r="A332" s="151"/>
      <c r="B332" s="151"/>
      <c r="C332" s="202"/>
      <c r="D332" s="126"/>
      <c r="E332" s="191"/>
      <c r="F332" s="191"/>
      <c r="G332" s="151"/>
      <c r="H332" s="115"/>
      <c r="I332" s="165"/>
      <c r="J332" s="178"/>
    </row>
    <row r="333" spans="1:13" x14ac:dyDescent="0.2">
      <c r="A333" s="151"/>
      <c r="B333" s="151" t="s">
        <v>57</v>
      </c>
      <c r="C333" s="202"/>
      <c r="D333" s="186" t="s">
        <v>45</v>
      </c>
      <c r="E333" s="190"/>
      <c r="F333" s="191"/>
      <c r="G333" s="151"/>
      <c r="H333" s="151"/>
      <c r="I333" s="165">
        <f>SUM(I272:I332)</f>
        <v>701070000</v>
      </c>
      <c r="J333" s="178">
        <f>SUM(J271:J332)</f>
        <v>7010.7</v>
      </c>
    </row>
    <row r="334" spans="1:13" x14ac:dyDescent="0.2">
      <c r="A334" s="151"/>
      <c r="B334" s="151"/>
      <c r="C334" s="202"/>
      <c r="D334" s="135"/>
      <c r="E334" s="190"/>
      <c r="F334" s="191"/>
      <c r="G334" s="151"/>
      <c r="H334" s="151"/>
      <c r="I334" s="127"/>
      <c r="J334" s="178"/>
    </row>
    <row r="335" spans="1:13" x14ac:dyDescent="0.2">
      <c r="A335" s="135">
        <v>899</v>
      </c>
      <c r="B335" s="167" t="s">
        <v>2</v>
      </c>
      <c r="C335" s="203"/>
      <c r="D335" s="161" t="s">
        <v>42</v>
      </c>
      <c r="E335" s="190"/>
      <c r="F335" s="191"/>
      <c r="G335" s="151"/>
      <c r="H335" s="151"/>
      <c r="I335" s="127"/>
      <c r="J335" s="178"/>
    </row>
    <row r="336" spans="1:13" x14ac:dyDescent="0.2">
      <c r="A336" s="151"/>
      <c r="B336" s="151"/>
      <c r="C336" s="203"/>
      <c r="D336" s="181" t="s">
        <v>587</v>
      </c>
      <c r="E336" s="190"/>
      <c r="F336" s="191"/>
      <c r="G336" s="151"/>
      <c r="H336" s="151"/>
      <c r="I336" s="165">
        <f>+I333*5%</f>
        <v>35053500</v>
      </c>
      <c r="J336" s="164">
        <f>+J333*5%</f>
        <v>350.53500000000003</v>
      </c>
    </row>
    <row r="337" spans="1:10" x14ac:dyDescent="0.2">
      <c r="A337" s="151"/>
      <c r="B337" s="151"/>
      <c r="C337" s="202"/>
      <c r="D337" s="135"/>
      <c r="E337" s="190"/>
      <c r="F337" s="191"/>
      <c r="G337" s="151"/>
      <c r="H337" s="151"/>
      <c r="I337" s="127"/>
      <c r="J337" s="178"/>
    </row>
    <row r="338" spans="1:10" x14ac:dyDescent="0.2">
      <c r="A338" s="151"/>
      <c r="B338" s="151"/>
      <c r="C338" s="202"/>
      <c r="D338" s="210" t="s">
        <v>672</v>
      </c>
      <c r="E338" s="211"/>
      <c r="F338" s="212"/>
      <c r="G338" s="212"/>
      <c r="H338" s="212"/>
      <c r="I338" s="208">
        <f>SUM(I333:I337)</f>
        <v>736123500</v>
      </c>
      <c r="J338" s="213">
        <f>SUM(J333:J337)</f>
        <v>7361.2349999999997</v>
      </c>
    </row>
    <row r="339" spans="1:10" x14ac:dyDescent="0.2">
      <c r="A339" s="140"/>
      <c r="B339" s="140"/>
      <c r="C339" s="202"/>
      <c r="D339" s="160"/>
      <c r="E339" s="160"/>
      <c r="F339" s="140"/>
      <c r="G339" s="140"/>
      <c r="H339" s="140"/>
      <c r="I339" s="140"/>
      <c r="J339" s="169"/>
    </row>
    <row r="340" spans="1:10" ht="30" x14ac:dyDescent="0.2">
      <c r="A340" s="135" t="s">
        <v>142</v>
      </c>
      <c r="B340" s="135"/>
      <c r="C340" s="205" t="s">
        <v>673</v>
      </c>
      <c r="D340" s="182" t="s">
        <v>143</v>
      </c>
      <c r="E340" s="190"/>
      <c r="F340" s="191"/>
      <c r="G340" s="151"/>
      <c r="H340" s="151"/>
      <c r="I340" s="151"/>
      <c r="J340" s="165"/>
    </row>
    <row r="341" spans="1:10" x14ac:dyDescent="0.2">
      <c r="A341" s="135">
        <v>910</v>
      </c>
      <c r="B341" s="167" t="s">
        <v>2</v>
      </c>
      <c r="C341" s="203">
        <v>1</v>
      </c>
      <c r="D341" s="161" t="s">
        <v>78</v>
      </c>
      <c r="E341" s="190"/>
      <c r="F341" s="191"/>
      <c r="G341" s="151"/>
      <c r="H341" s="151"/>
      <c r="I341" s="151"/>
      <c r="J341" s="164">
        <f>SUM(I370:I371)/100000</f>
        <v>230</v>
      </c>
    </row>
    <row r="342" spans="1:10" hidden="1" x14ac:dyDescent="0.2">
      <c r="A342" s="151"/>
      <c r="B342" s="151" t="s">
        <v>5</v>
      </c>
      <c r="C342" s="203"/>
      <c r="D342" s="126" t="s">
        <v>168</v>
      </c>
      <c r="E342" s="191"/>
      <c r="F342" s="191">
        <v>1</v>
      </c>
      <c r="G342" s="126"/>
      <c r="H342" s="126"/>
      <c r="I342" s="126"/>
      <c r="J342" s="170"/>
    </row>
    <row r="343" spans="1:10" hidden="1" x14ac:dyDescent="0.2">
      <c r="A343" s="151"/>
      <c r="B343" s="151" t="s">
        <v>5</v>
      </c>
      <c r="C343" s="202"/>
      <c r="D343" s="126" t="s">
        <v>169</v>
      </c>
      <c r="E343" s="191"/>
      <c r="F343" s="191">
        <v>1</v>
      </c>
      <c r="G343" s="126"/>
      <c r="H343" s="126"/>
      <c r="I343" s="126"/>
      <c r="J343" s="170"/>
    </row>
    <row r="344" spans="1:10" hidden="1" x14ac:dyDescent="0.2">
      <c r="A344" s="151"/>
      <c r="B344" s="151" t="s">
        <v>5</v>
      </c>
      <c r="C344" s="202"/>
      <c r="D344" s="126" t="s">
        <v>170</v>
      </c>
      <c r="E344" s="191"/>
      <c r="F344" s="191">
        <v>1</v>
      </c>
      <c r="G344" s="126"/>
      <c r="H344" s="126"/>
      <c r="I344" s="126"/>
      <c r="J344" s="170"/>
    </row>
    <row r="345" spans="1:10" hidden="1" x14ac:dyDescent="0.2">
      <c r="A345" s="151"/>
      <c r="B345" s="151" t="s">
        <v>5</v>
      </c>
      <c r="C345" s="202"/>
      <c r="D345" s="126" t="s">
        <v>171</v>
      </c>
      <c r="E345" s="191"/>
      <c r="F345" s="191">
        <v>1</v>
      </c>
      <c r="G345" s="126"/>
      <c r="H345" s="126"/>
      <c r="I345" s="126"/>
      <c r="J345" s="170"/>
    </row>
    <row r="346" spans="1:10" hidden="1" x14ac:dyDescent="0.2">
      <c r="A346" s="151"/>
      <c r="B346" s="151" t="s">
        <v>5</v>
      </c>
      <c r="C346" s="202"/>
      <c r="D346" s="126" t="s">
        <v>172</v>
      </c>
      <c r="E346" s="191"/>
      <c r="F346" s="191">
        <v>1</v>
      </c>
      <c r="G346" s="126"/>
      <c r="H346" s="126"/>
      <c r="I346" s="126"/>
      <c r="J346" s="170"/>
    </row>
    <row r="347" spans="1:10" hidden="1" x14ac:dyDescent="0.2">
      <c r="A347" s="151"/>
      <c r="B347" s="151" t="s">
        <v>5</v>
      </c>
      <c r="C347" s="202"/>
      <c r="D347" s="126" t="s">
        <v>173</v>
      </c>
      <c r="E347" s="191"/>
      <c r="F347" s="191">
        <v>1</v>
      </c>
      <c r="G347" s="126"/>
      <c r="H347" s="126"/>
      <c r="I347" s="126"/>
      <c r="J347" s="170"/>
    </row>
    <row r="348" spans="1:10" hidden="1" x14ac:dyDescent="0.2">
      <c r="A348" s="151"/>
      <c r="B348" s="151" t="s">
        <v>5</v>
      </c>
      <c r="C348" s="202"/>
      <c r="D348" s="126" t="s">
        <v>174</v>
      </c>
      <c r="E348" s="191"/>
      <c r="F348" s="191">
        <v>1</v>
      </c>
      <c r="G348" s="126"/>
      <c r="H348" s="126"/>
      <c r="I348" s="126"/>
      <c r="J348" s="170"/>
    </row>
    <row r="349" spans="1:10" hidden="1" x14ac:dyDescent="0.2">
      <c r="A349" s="151"/>
      <c r="B349" s="151" t="s">
        <v>5</v>
      </c>
      <c r="C349" s="202"/>
      <c r="D349" s="126" t="s">
        <v>175</v>
      </c>
      <c r="E349" s="191"/>
      <c r="F349" s="191">
        <v>1</v>
      </c>
      <c r="G349" s="126"/>
      <c r="H349" s="126"/>
      <c r="I349" s="126"/>
      <c r="J349" s="170"/>
    </row>
    <row r="350" spans="1:10" hidden="1" x14ac:dyDescent="0.2">
      <c r="A350" s="151"/>
      <c r="B350" s="151" t="s">
        <v>5</v>
      </c>
      <c r="C350" s="202"/>
      <c r="D350" s="126" t="s">
        <v>176</v>
      </c>
      <c r="E350" s="191"/>
      <c r="F350" s="191">
        <v>1</v>
      </c>
      <c r="G350" s="126"/>
      <c r="H350" s="126"/>
      <c r="I350" s="126"/>
      <c r="J350" s="170"/>
    </row>
    <row r="351" spans="1:10" hidden="1" x14ac:dyDescent="0.2">
      <c r="A351" s="151"/>
      <c r="B351" s="151" t="s">
        <v>5</v>
      </c>
      <c r="C351" s="202"/>
      <c r="D351" s="126" t="s">
        <v>177</v>
      </c>
      <c r="E351" s="191"/>
      <c r="F351" s="191">
        <v>1</v>
      </c>
      <c r="G351" s="126"/>
      <c r="H351" s="126"/>
      <c r="I351" s="126"/>
      <c r="J351" s="170"/>
    </row>
    <row r="352" spans="1:10" hidden="1" x14ac:dyDescent="0.2">
      <c r="A352" s="151"/>
      <c r="B352" s="151" t="s">
        <v>5</v>
      </c>
      <c r="C352" s="202"/>
      <c r="D352" s="126" t="s">
        <v>178</v>
      </c>
      <c r="E352" s="191"/>
      <c r="F352" s="191">
        <v>1</v>
      </c>
      <c r="G352" s="126"/>
      <c r="H352" s="126"/>
      <c r="I352" s="126"/>
      <c r="J352" s="170"/>
    </row>
    <row r="353" spans="1:10" hidden="1" x14ac:dyDescent="0.2">
      <c r="A353" s="151"/>
      <c r="B353" s="151" t="s">
        <v>5</v>
      </c>
      <c r="C353" s="202"/>
      <c r="D353" s="126" t="s">
        <v>179</v>
      </c>
      <c r="E353" s="191"/>
      <c r="F353" s="191">
        <v>1</v>
      </c>
      <c r="G353" s="126"/>
      <c r="H353" s="126"/>
      <c r="I353" s="126"/>
      <c r="J353" s="170"/>
    </row>
    <row r="354" spans="1:10" hidden="1" x14ac:dyDescent="0.2">
      <c r="A354" s="151"/>
      <c r="B354" s="151" t="s">
        <v>5</v>
      </c>
      <c r="C354" s="202"/>
      <c r="D354" s="126" t="s">
        <v>180</v>
      </c>
      <c r="E354" s="191"/>
      <c r="F354" s="191">
        <v>1</v>
      </c>
      <c r="G354" s="126"/>
      <c r="H354" s="126"/>
      <c r="I354" s="126"/>
      <c r="J354" s="170"/>
    </row>
    <row r="355" spans="1:10" hidden="1" x14ac:dyDescent="0.2">
      <c r="A355" s="151"/>
      <c r="B355" s="151" t="s">
        <v>5</v>
      </c>
      <c r="C355" s="202"/>
      <c r="D355" s="126" t="s">
        <v>181</v>
      </c>
      <c r="E355" s="191"/>
      <c r="F355" s="191">
        <v>1</v>
      </c>
      <c r="G355" s="126"/>
      <c r="H355" s="126"/>
      <c r="I355" s="126"/>
      <c r="J355" s="170"/>
    </row>
    <row r="356" spans="1:10" hidden="1" x14ac:dyDescent="0.2">
      <c r="A356" s="151"/>
      <c r="B356" s="151" t="s">
        <v>5</v>
      </c>
      <c r="C356" s="202"/>
      <c r="D356" s="126" t="s">
        <v>182</v>
      </c>
      <c r="E356" s="191"/>
      <c r="F356" s="191">
        <v>1</v>
      </c>
      <c r="G356" s="126"/>
      <c r="H356" s="126"/>
      <c r="I356" s="126"/>
      <c r="J356" s="170"/>
    </row>
    <row r="357" spans="1:10" hidden="1" x14ac:dyDescent="0.2">
      <c r="A357" s="151"/>
      <c r="B357" s="151" t="s">
        <v>5</v>
      </c>
      <c r="C357" s="202"/>
      <c r="D357" s="126" t="s">
        <v>183</v>
      </c>
      <c r="E357" s="191"/>
      <c r="F357" s="191">
        <v>1</v>
      </c>
      <c r="G357" s="126"/>
      <c r="H357" s="126"/>
      <c r="I357" s="126"/>
      <c r="J357" s="170"/>
    </row>
    <row r="358" spans="1:10" hidden="1" x14ac:dyDescent="0.2">
      <c r="A358" s="151"/>
      <c r="B358" s="151" t="s">
        <v>5</v>
      </c>
      <c r="C358" s="202"/>
      <c r="D358" s="126" t="s">
        <v>184</v>
      </c>
      <c r="E358" s="191"/>
      <c r="F358" s="191">
        <v>1</v>
      </c>
      <c r="G358" s="126"/>
      <c r="H358" s="126"/>
      <c r="I358" s="126"/>
      <c r="J358" s="170"/>
    </row>
    <row r="359" spans="1:10" hidden="1" x14ac:dyDescent="0.2">
      <c r="A359" s="151"/>
      <c r="B359" s="151" t="s">
        <v>5</v>
      </c>
      <c r="C359" s="202"/>
      <c r="D359" s="126" t="s">
        <v>185</v>
      </c>
      <c r="E359" s="191"/>
      <c r="F359" s="191">
        <v>1</v>
      </c>
      <c r="G359" s="126"/>
      <c r="H359" s="126"/>
      <c r="I359" s="126"/>
      <c r="J359" s="170"/>
    </row>
    <row r="360" spans="1:10" hidden="1" x14ac:dyDescent="0.2">
      <c r="A360" s="151"/>
      <c r="B360" s="151" t="s">
        <v>5</v>
      </c>
      <c r="C360" s="202"/>
      <c r="D360" s="126" t="s">
        <v>186</v>
      </c>
      <c r="E360" s="191"/>
      <c r="F360" s="191">
        <v>1</v>
      </c>
      <c r="G360" s="126"/>
      <c r="H360" s="126"/>
      <c r="I360" s="126"/>
      <c r="J360" s="170"/>
    </row>
    <row r="361" spans="1:10" hidden="1" x14ac:dyDescent="0.2">
      <c r="A361" s="151"/>
      <c r="B361" s="151" t="s">
        <v>5</v>
      </c>
      <c r="C361" s="202"/>
      <c r="D361" s="126" t="s">
        <v>187</v>
      </c>
      <c r="E361" s="191"/>
      <c r="F361" s="191">
        <v>1</v>
      </c>
      <c r="G361" s="126"/>
      <c r="H361" s="126"/>
      <c r="I361" s="126"/>
      <c r="J361" s="170"/>
    </row>
    <row r="362" spans="1:10" hidden="1" x14ac:dyDescent="0.2">
      <c r="A362" s="151"/>
      <c r="B362" s="151" t="s">
        <v>5</v>
      </c>
      <c r="C362" s="202"/>
      <c r="D362" s="126" t="s">
        <v>188</v>
      </c>
      <c r="E362" s="191"/>
      <c r="F362" s="191">
        <v>1</v>
      </c>
      <c r="G362" s="126"/>
      <c r="H362" s="126"/>
      <c r="I362" s="126"/>
      <c r="J362" s="170"/>
    </row>
    <row r="363" spans="1:10" hidden="1" x14ac:dyDescent="0.2">
      <c r="A363" s="151"/>
      <c r="B363" s="151" t="s">
        <v>5</v>
      </c>
      <c r="C363" s="202"/>
      <c r="D363" s="126" t="s">
        <v>189</v>
      </c>
      <c r="E363" s="191"/>
      <c r="F363" s="191">
        <v>1</v>
      </c>
      <c r="G363" s="126"/>
      <c r="H363" s="126"/>
      <c r="I363" s="126"/>
      <c r="J363" s="170"/>
    </row>
    <row r="364" spans="1:10" hidden="1" x14ac:dyDescent="0.2">
      <c r="A364" s="151"/>
      <c r="B364" s="151" t="s">
        <v>5</v>
      </c>
      <c r="C364" s="202"/>
      <c r="D364" s="126" t="s">
        <v>190</v>
      </c>
      <c r="E364" s="191"/>
      <c r="F364" s="191">
        <v>1</v>
      </c>
      <c r="G364" s="126"/>
      <c r="H364" s="126"/>
      <c r="I364" s="126"/>
      <c r="J364" s="170"/>
    </row>
    <row r="365" spans="1:10" hidden="1" x14ac:dyDescent="0.2">
      <c r="A365" s="151"/>
      <c r="B365" s="151" t="s">
        <v>5</v>
      </c>
      <c r="C365" s="202"/>
      <c r="D365" s="126" t="s">
        <v>191</v>
      </c>
      <c r="E365" s="191"/>
      <c r="F365" s="191">
        <v>1</v>
      </c>
      <c r="G365" s="126"/>
      <c r="H365" s="126"/>
      <c r="I365" s="126"/>
      <c r="J365" s="170"/>
    </row>
    <row r="366" spans="1:10" hidden="1" x14ac:dyDescent="0.2">
      <c r="A366" s="151"/>
      <c r="B366" s="151" t="s">
        <v>5</v>
      </c>
      <c r="C366" s="202"/>
      <c r="D366" s="126" t="s">
        <v>192</v>
      </c>
      <c r="E366" s="191"/>
      <c r="F366" s="191">
        <v>1</v>
      </c>
      <c r="G366" s="126"/>
      <c r="H366" s="126"/>
      <c r="I366" s="126"/>
      <c r="J366" s="170"/>
    </row>
    <row r="367" spans="1:10" hidden="1" x14ac:dyDescent="0.2">
      <c r="A367" s="151"/>
      <c r="B367" s="151" t="s">
        <v>5</v>
      </c>
      <c r="C367" s="202"/>
      <c r="D367" s="126" t="s">
        <v>193</v>
      </c>
      <c r="E367" s="191"/>
      <c r="F367" s="191">
        <v>1</v>
      </c>
      <c r="G367" s="126"/>
      <c r="H367" s="126"/>
      <c r="I367" s="126"/>
      <c r="J367" s="170"/>
    </row>
    <row r="368" spans="1:10" hidden="1" x14ac:dyDescent="0.2">
      <c r="A368" s="151"/>
      <c r="B368" s="151" t="s">
        <v>5</v>
      </c>
      <c r="C368" s="202"/>
      <c r="D368" s="126" t="s">
        <v>194</v>
      </c>
      <c r="E368" s="191"/>
      <c r="F368" s="191">
        <v>1</v>
      </c>
      <c r="G368" s="126"/>
      <c r="H368" s="126"/>
      <c r="I368" s="126"/>
      <c r="J368" s="170"/>
    </row>
    <row r="369" spans="1:10" hidden="1" x14ac:dyDescent="0.2">
      <c r="A369" s="151"/>
      <c r="B369" s="151" t="s">
        <v>5</v>
      </c>
      <c r="C369" s="202"/>
      <c r="D369" s="126" t="s">
        <v>195</v>
      </c>
      <c r="E369" s="191"/>
      <c r="F369" s="191">
        <v>1</v>
      </c>
      <c r="G369" s="126"/>
      <c r="H369" s="126"/>
      <c r="I369" s="126"/>
      <c r="J369" s="170"/>
    </row>
    <row r="370" spans="1:10" x14ac:dyDescent="0.2">
      <c r="A370" s="151"/>
      <c r="B370" s="151"/>
      <c r="C370" s="202"/>
      <c r="D370" s="113" t="s">
        <v>582</v>
      </c>
      <c r="E370" s="183" t="s">
        <v>406</v>
      </c>
      <c r="F370" s="114">
        <v>1</v>
      </c>
      <c r="G370" s="114" t="s">
        <v>255</v>
      </c>
      <c r="H370" s="115">
        <v>20000000</v>
      </c>
      <c r="I370" s="165">
        <f>+H370*F370</f>
        <v>20000000</v>
      </c>
      <c r="J370" s="178"/>
    </row>
    <row r="371" spans="1:10" ht="30" x14ac:dyDescent="0.2">
      <c r="A371" s="151"/>
      <c r="B371" s="151"/>
      <c r="C371" s="202"/>
      <c r="D371" s="112" t="s">
        <v>563</v>
      </c>
      <c r="E371" s="183" t="s">
        <v>406</v>
      </c>
      <c r="F371" s="110">
        <v>1</v>
      </c>
      <c r="G371" s="110" t="s">
        <v>254</v>
      </c>
      <c r="H371" s="111">
        <v>3000000</v>
      </c>
      <c r="I371" s="165">
        <f t="shared" ref="I371" si="20">+H371*F371</f>
        <v>3000000</v>
      </c>
      <c r="J371" s="178"/>
    </row>
    <row r="372" spans="1:10" x14ac:dyDescent="0.2">
      <c r="A372" s="140"/>
      <c r="B372" s="140"/>
      <c r="C372" s="202"/>
      <c r="D372" s="125"/>
      <c r="E372" s="140"/>
      <c r="F372" s="140"/>
      <c r="G372" s="140"/>
      <c r="H372" s="140"/>
      <c r="I372" s="140"/>
      <c r="J372" s="169"/>
    </row>
    <row r="373" spans="1:10" x14ac:dyDescent="0.2">
      <c r="A373" s="135">
        <v>916</v>
      </c>
      <c r="B373" s="167" t="s">
        <v>2</v>
      </c>
      <c r="C373" s="203">
        <v>2</v>
      </c>
      <c r="D373" s="161" t="s">
        <v>79</v>
      </c>
      <c r="E373" s="190"/>
      <c r="F373" s="191"/>
      <c r="G373" s="151"/>
      <c r="H373" s="151"/>
      <c r="I373" s="151"/>
      <c r="J373" s="164">
        <f>I374/100000</f>
        <v>150</v>
      </c>
    </row>
    <row r="374" spans="1:10" ht="30" x14ac:dyDescent="0.2">
      <c r="A374" s="151"/>
      <c r="B374" s="151"/>
      <c r="C374" s="203"/>
      <c r="D374" s="126" t="s">
        <v>565</v>
      </c>
      <c r="E374" s="191" t="s">
        <v>254</v>
      </c>
      <c r="F374" s="191">
        <v>1</v>
      </c>
      <c r="G374" s="129" t="s">
        <v>406</v>
      </c>
      <c r="H374" s="115">
        <v>15000000</v>
      </c>
      <c r="I374" s="165">
        <f>+H374*F374</f>
        <v>15000000</v>
      </c>
      <c r="J374" s="178"/>
    </row>
    <row r="375" spans="1:10" x14ac:dyDescent="0.2">
      <c r="A375" s="140"/>
      <c r="B375" s="140"/>
      <c r="C375" s="202"/>
      <c r="D375" s="125"/>
      <c r="E375" s="140"/>
      <c r="F375" s="140"/>
      <c r="G375" s="140"/>
      <c r="H375" s="140"/>
      <c r="I375" s="140"/>
      <c r="J375" s="169"/>
    </row>
    <row r="376" spans="1:10" x14ac:dyDescent="0.2">
      <c r="A376" s="135">
        <v>917</v>
      </c>
      <c r="B376" s="167" t="s">
        <v>2</v>
      </c>
      <c r="C376" s="203">
        <v>3</v>
      </c>
      <c r="D376" s="161" t="s">
        <v>16</v>
      </c>
      <c r="E376" s="190"/>
      <c r="F376" s="191"/>
      <c r="G376" s="151"/>
      <c r="H376" s="151"/>
      <c r="I376" s="151"/>
      <c r="J376" s="164">
        <f>(I377+I378+I379+I380)/100000</f>
        <v>73.413268000000002</v>
      </c>
    </row>
    <row r="377" spans="1:10" x14ac:dyDescent="0.25">
      <c r="A377" s="151"/>
      <c r="B377" s="151"/>
      <c r="C377" s="203"/>
      <c r="D377" s="126" t="s">
        <v>347</v>
      </c>
      <c r="E377" s="134" t="s">
        <v>564</v>
      </c>
      <c r="F377" s="134">
        <v>2</v>
      </c>
      <c r="G377" s="134" t="s">
        <v>411</v>
      </c>
      <c r="H377" s="115">
        <v>3500000</v>
      </c>
      <c r="I377" s="165">
        <f>+H377*F377</f>
        <v>7000000</v>
      </c>
      <c r="J377" s="178"/>
    </row>
    <row r="378" spans="1:10" x14ac:dyDescent="0.25">
      <c r="A378" s="151"/>
      <c r="B378" s="151"/>
      <c r="C378" s="202"/>
      <c r="D378" s="126" t="s">
        <v>343</v>
      </c>
      <c r="E378" s="134" t="s">
        <v>346</v>
      </c>
      <c r="F378" s="110">
        <v>3</v>
      </c>
      <c r="G378" s="134" t="s">
        <v>375</v>
      </c>
      <c r="H378" s="115">
        <f>35520+((35520*0.07)*4)</f>
        <v>45465.599999999999</v>
      </c>
      <c r="I378" s="165">
        <f t="shared" ref="I378:I379" si="21">+H378*F378</f>
        <v>136396.79999999999</v>
      </c>
      <c r="J378" s="178"/>
    </row>
    <row r="379" spans="1:10" x14ac:dyDescent="0.25">
      <c r="A379" s="151"/>
      <c r="B379" s="151"/>
      <c r="C379" s="202"/>
      <c r="D379" s="126" t="s">
        <v>343</v>
      </c>
      <c r="E379" s="134" t="s">
        <v>345</v>
      </c>
      <c r="F379" s="110">
        <v>1</v>
      </c>
      <c r="G379" s="134" t="s">
        <v>255</v>
      </c>
      <c r="H379" s="115">
        <f>40500+((40500*0.03)*2)</f>
        <v>42930</v>
      </c>
      <c r="I379" s="165">
        <f t="shared" si="21"/>
        <v>42930</v>
      </c>
      <c r="J379" s="178"/>
    </row>
    <row r="380" spans="1:10" x14ac:dyDescent="0.25">
      <c r="A380" s="151"/>
      <c r="B380" s="151"/>
      <c r="C380" s="202"/>
      <c r="D380" s="126" t="s">
        <v>343</v>
      </c>
      <c r="E380" s="134" t="s">
        <v>344</v>
      </c>
      <c r="F380" s="110">
        <v>1</v>
      </c>
      <c r="G380" s="134" t="s">
        <v>255</v>
      </c>
      <c r="H380" s="115">
        <f>120000+((120000*0.07)*5)</f>
        <v>162000</v>
      </c>
      <c r="I380" s="165">
        <f>+H380*F380</f>
        <v>162000</v>
      </c>
      <c r="J380" s="178"/>
    </row>
    <row r="381" spans="1:10" x14ac:dyDescent="0.2">
      <c r="A381" s="140"/>
      <c r="B381" s="140"/>
      <c r="C381" s="202"/>
      <c r="D381" s="125"/>
      <c r="E381" s="140"/>
      <c r="F381" s="140"/>
      <c r="G381" s="140"/>
      <c r="H381" s="140"/>
      <c r="I381" s="184"/>
      <c r="J381" s="141"/>
    </row>
    <row r="382" spans="1:10" x14ac:dyDescent="0.2">
      <c r="A382" s="135">
        <v>928</v>
      </c>
      <c r="B382" s="167" t="s">
        <v>4</v>
      </c>
      <c r="C382" s="205">
        <v>4</v>
      </c>
      <c r="D382" s="161" t="s">
        <v>238</v>
      </c>
      <c r="E382" s="190"/>
      <c r="F382" s="191"/>
      <c r="G382" s="151"/>
      <c r="H382" s="151"/>
      <c r="I382" s="127"/>
      <c r="J382" s="164">
        <f>(SUM(I383:I390))/100000</f>
        <v>207.72</v>
      </c>
    </row>
    <row r="383" spans="1:10" x14ac:dyDescent="0.2">
      <c r="A383" s="151"/>
      <c r="B383" s="151"/>
      <c r="C383" s="203"/>
      <c r="D383" s="126" t="s">
        <v>206</v>
      </c>
      <c r="E383" s="129" t="s">
        <v>406</v>
      </c>
      <c r="F383" s="191">
        <v>8</v>
      </c>
      <c r="G383" s="151" t="s">
        <v>375</v>
      </c>
      <c r="H383" s="115">
        <v>159000</v>
      </c>
      <c r="I383" s="165">
        <f>+H383*F383</f>
        <v>1272000</v>
      </c>
      <c r="J383" s="178"/>
    </row>
    <row r="384" spans="1:10" ht="60" x14ac:dyDescent="0.2">
      <c r="A384" s="151"/>
      <c r="B384" s="151"/>
      <c r="C384" s="202"/>
      <c r="D384" s="112" t="s">
        <v>547</v>
      </c>
      <c r="E384" s="129" t="s">
        <v>406</v>
      </c>
      <c r="F384" s="110">
        <v>1</v>
      </c>
      <c r="G384" s="110" t="s">
        <v>254</v>
      </c>
      <c r="H384" s="111">
        <v>8000000</v>
      </c>
      <c r="I384" s="165">
        <f t="shared" ref="I384:I387" si="22">+H384*F384</f>
        <v>8000000</v>
      </c>
      <c r="J384" s="178"/>
    </row>
    <row r="385" spans="1:10" ht="60" x14ac:dyDescent="0.2">
      <c r="A385" s="151"/>
      <c r="B385" s="151"/>
      <c r="C385" s="202"/>
      <c r="D385" s="113" t="s">
        <v>583</v>
      </c>
      <c r="E385" s="129" t="s">
        <v>406</v>
      </c>
      <c r="F385" s="114">
        <v>1</v>
      </c>
      <c r="G385" s="114" t="s">
        <v>254</v>
      </c>
      <c r="H385" s="115">
        <v>2500000</v>
      </c>
      <c r="I385" s="165">
        <f t="shared" si="22"/>
        <v>2500000</v>
      </c>
      <c r="J385" s="178"/>
    </row>
    <row r="386" spans="1:10" ht="30" x14ac:dyDescent="0.2">
      <c r="A386" s="151"/>
      <c r="B386" s="151"/>
      <c r="C386" s="202"/>
      <c r="D386" s="185" t="s">
        <v>584</v>
      </c>
      <c r="E386" s="129" t="s">
        <v>406</v>
      </c>
      <c r="F386" s="114">
        <v>1</v>
      </c>
      <c r="G386" s="114" t="s">
        <v>254</v>
      </c>
      <c r="H386" s="115">
        <v>1500000</v>
      </c>
      <c r="I386" s="165">
        <f t="shared" si="22"/>
        <v>1500000</v>
      </c>
      <c r="J386" s="178"/>
    </row>
    <row r="387" spans="1:10" x14ac:dyDescent="0.2">
      <c r="A387" s="151"/>
      <c r="B387" s="151"/>
      <c r="C387" s="202"/>
      <c r="D387" s="185" t="s">
        <v>585</v>
      </c>
      <c r="E387" s="129" t="s">
        <v>406</v>
      </c>
      <c r="F387" s="110">
        <v>1</v>
      </c>
      <c r="G387" s="114" t="s">
        <v>254</v>
      </c>
      <c r="H387" s="111">
        <v>2500000</v>
      </c>
      <c r="I387" s="165">
        <f t="shared" si="22"/>
        <v>2500000</v>
      </c>
      <c r="J387" s="178"/>
    </row>
    <row r="388" spans="1:10" ht="30" x14ac:dyDescent="0.2">
      <c r="A388" s="151"/>
      <c r="B388" s="151"/>
      <c r="C388" s="202"/>
      <c r="D388" s="113" t="s">
        <v>527</v>
      </c>
      <c r="E388" s="129" t="s">
        <v>406</v>
      </c>
      <c r="F388" s="191">
        <v>1</v>
      </c>
      <c r="G388" s="151" t="s">
        <v>254</v>
      </c>
      <c r="H388" s="115">
        <v>1000000</v>
      </c>
      <c r="I388" s="165">
        <f>+H388*F388</f>
        <v>1000000</v>
      </c>
      <c r="J388" s="178"/>
    </row>
    <row r="389" spans="1:10" x14ac:dyDescent="0.2">
      <c r="A389" s="151"/>
      <c r="B389" s="151"/>
      <c r="C389" s="202"/>
      <c r="D389" s="112" t="s">
        <v>526</v>
      </c>
      <c r="E389" s="129" t="s">
        <v>406</v>
      </c>
      <c r="F389" s="110">
        <v>2</v>
      </c>
      <c r="G389" s="110" t="s">
        <v>474</v>
      </c>
      <c r="H389" s="115">
        <v>1200000</v>
      </c>
      <c r="I389" s="165">
        <f>+H389*F389</f>
        <v>2400000</v>
      </c>
      <c r="J389" s="178"/>
    </row>
    <row r="390" spans="1:10" x14ac:dyDescent="0.2">
      <c r="A390" s="151"/>
      <c r="B390" s="151"/>
      <c r="C390" s="202"/>
      <c r="D390" s="112" t="s">
        <v>525</v>
      </c>
      <c r="E390" s="129" t="s">
        <v>406</v>
      </c>
      <c r="F390" s="110">
        <v>4</v>
      </c>
      <c r="G390" s="110" t="s">
        <v>474</v>
      </c>
      <c r="H390" s="115">
        <v>400000</v>
      </c>
      <c r="I390" s="165">
        <f>+H390*F390</f>
        <v>1600000</v>
      </c>
      <c r="J390" s="178"/>
    </row>
    <row r="391" spans="1:10" x14ac:dyDescent="0.2">
      <c r="A391" s="151"/>
      <c r="B391" s="151"/>
      <c r="C391" s="202"/>
      <c r="D391" s="126"/>
      <c r="E391" s="191"/>
      <c r="F391" s="191"/>
      <c r="G391" s="151"/>
      <c r="H391" s="151"/>
      <c r="I391" s="151"/>
      <c r="J391" s="165"/>
    </row>
    <row r="392" spans="1:10" x14ac:dyDescent="0.2">
      <c r="A392" s="151"/>
      <c r="B392" s="151" t="s">
        <v>57</v>
      </c>
      <c r="C392" s="202"/>
      <c r="D392" s="186" t="s">
        <v>45</v>
      </c>
      <c r="E392" s="190"/>
      <c r="F392" s="191"/>
      <c r="G392" s="151"/>
      <c r="H392" s="151"/>
      <c r="I392" s="165">
        <f>SUM(I370:I391)</f>
        <v>66113326.799999997</v>
      </c>
      <c r="J392" s="164">
        <f>I392/100000</f>
        <v>661.13326799999993</v>
      </c>
    </row>
    <row r="393" spans="1:10" x14ac:dyDescent="0.2">
      <c r="A393" s="140"/>
      <c r="B393" s="140"/>
      <c r="C393" s="202"/>
      <c r="D393" s="160"/>
      <c r="E393" s="160"/>
      <c r="F393" s="140"/>
      <c r="G393" s="140"/>
      <c r="H393" s="140"/>
      <c r="I393" s="140"/>
      <c r="J393" s="169"/>
    </row>
    <row r="394" spans="1:10" x14ac:dyDescent="0.2">
      <c r="A394" s="135">
        <v>930</v>
      </c>
      <c r="B394" s="167" t="s">
        <v>2</v>
      </c>
      <c r="C394" s="203"/>
      <c r="D394" s="161" t="s">
        <v>43</v>
      </c>
      <c r="E394" s="190"/>
      <c r="F394" s="191"/>
      <c r="G394" s="151"/>
      <c r="H394" s="151"/>
      <c r="I394" s="151"/>
      <c r="J394" s="165"/>
    </row>
    <row r="395" spans="1:10" ht="17.25" customHeight="1" x14ac:dyDescent="0.2">
      <c r="A395" s="151"/>
      <c r="B395" s="151"/>
      <c r="C395" s="203"/>
      <c r="D395" s="132" t="s">
        <v>588</v>
      </c>
      <c r="E395" s="190"/>
      <c r="F395" s="191"/>
      <c r="G395" s="151"/>
      <c r="H395" s="151"/>
      <c r="I395" s="165">
        <f>+I392*5%</f>
        <v>3305666.34</v>
      </c>
      <c r="J395" s="164">
        <f>I395/100000</f>
        <v>33.056663399999998</v>
      </c>
    </row>
    <row r="396" spans="1:10" x14ac:dyDescent="0.2">
      <c r="A396" s="151"/>
      <c r="B396" s="151"/>
      <c r="C396" s="202"/>
      <c r="D396" s="135"/>
      <c r="E396" s="190"/>
      <c r="F396" s="191"/>
      <c r="G396" s="151"/>
      <c r="H396" s="151"/>
      <c r="I396" s="151"/>
      <c r="J396" s="165"/>
    </row>
    <row r="397" spans="1:10" x14ac:dyDescent="0.2">
      <c r="A397" s="151"/>
      <c r="B397" s="151"/>
      <c r="C397" s="202"/>
      <c r="D397" s="210" t="s">
        <v>674</v>
      </c>
      <c r="E397" s="211"/>
      <c r="F397" s="212"/>
      <c r="G397" s="212"/>
      <c r="H397" s="212"/>
      <c r="I397" s="208">
        <f>SUM(I392:I396)</f>
        <v>69418993.140000001</v>
      </c>
      <c r="J397" s="213">
        <f>SUM(J392:J396)</f>
        <v>694.18993139999998</v>
      </c>
    </row>
    <row r="398" spans="1:10" x14ac:dyDescent="0.2">
      <c r="A398" s="140"/>
      <c r="B398" s="140"/>
      <c r="C398" s="202"/>
      <c r="D398" s="160"/>
      <c r="E398" s="160"/>
      <c r="F398" s="140"/>
      <c r="G398" s="140"/>
      <c r="H398" s="140"/>
      <c r="I398" s="140"/>
      <c r="J398" s="169"/>
    </row>
    <row r="399" spans="1:10" x14ac:dyDescent="0.2">
      <c r="A399" s="151"/>
      <c r="B399" s="151"/>
      <c r="C399" s="202"/>
      <c r="D399" s="126"/>
      <c r="E399" s="191"/>
      <c r="F399" s="191"/>
      <c r="G399" s="151"/>
      <c r="H399" s="151"/>
      <c r="I399" s="151"/>
      <c r="J399" s="165"/>
    </row>
    <row r="400" spans="1:10" x14ac:dyDescent="0.2">
      <c r="A400" s="135">
        <v>930</v>
      </c>
      <c r="B400" s="167" t="s">
        <v>4</v>
      </c>
      <c r="C400" s="202" t="s">
        <v>675</v>
      </c>
      <c r="D400" s="161" t="s">
        <v>80</v>
      </c>
      <c r="E400" s="190"/>
      <c r="F400" s="191"/>
      <c r="G400" s="151"/>
      <c r="H400" s="151"/>
      <c r="I400" s="151"/>
      <c r="J400" s="165"/>
    </row>
    <row r="401" spans="1:10" x14ac:dyDescent="0.2">
      <c r="A401" s="135">
        <v>930</v>
      </c>
      <c r="B401" s="167" t="s">
        <v>2</v>
      </c>
      <c r="C401" s="203"/>
      <c r="D401" s="161" t="s">
        <v>17</v>
      </c>
      <c r="E401" s="190"/>
      <c r="F401" s="191"/>
      <c r="G401" s="151"/>
      <c r="H401" s="151"/>
      <c r="I401" s="151"/>
      <c r="J401" s="164">
        <f>I402/100000</f>
        <v>1818.7052737484398</v>
      </c>
    </row>
    <row r="402" spans="1:10" ht="30" x14ac:dyDescent="0.2">
      <c r="A402" s="151"/>
      <c r="B402" s="151"/>
      <c r="C402" s="203"/>
      <c r="D402" s="132" t="s">
        <v>528</v>
      </c>
      <c r="E402" s="191" t="s">
        <v>259</v>
      </c>
      <c r="F402" s="191">
        <v>1</v>
      </c>
      <c r="G402" s="151"/>
      <c r="H402" s="151"/>
      <c r="I402" s="165">
        <f>+(I397+I338+I268)*10%</f>
        <v>181870527.37484398</v>
      </c>
      <c r="J402" s="178"/>
    </row>
    <row r="403" spans="1:10" x14ac:dyDescent="0.2">
      <c r="A403" s="151"/>
      <c r="B403" s="151" t="s">
        <v>57</v>
      </c>
      <c r="C403" s="202"/>
      <c r="D403" s="132"/>
      <c r="E403" s="191"/>
      <c r="F403" s="191"/>
      <c r="G403" s="151"/>
      <c r="H403" s="151"/>
      <c r="I403" s="151"/>
      <c r="J403" s="165"/>
    </row>
    <row r="404" spans="1:10" x14ac:dyDescent="0.2">
      <c r="A404" s="135">
        <v>944</v>
      </c>
      <c r="B404" s="167" t="s">
        <v>2</v>
      </c>
      <c r="C404" s="203"/>
      <c r="D404" s="161" t="s">
        <v>44</v>
      </c>
      <c r="E404" s="191"/>
      <c r="F404" s="191"/>
      <c r="G404" s="151"/>
      <c r="H404" s="151"/>
      <c r="I404" s="151"/>
      <c r="J404" s="165"/>
    </row>
    <row r="405" spans="1:10" x14ac:dyDescent="0.2">
      <c r="A405" s="151"/>
      <c r="B405" s="151"/>
      <c r="C405" s="203"/>
      <c r="D405" s="132" t="s">
        <v>589</v>
      </c>
      <c r="E405" s="191"/>
      <c r="F405" s="191"/>
      <c r="G405" s="151"/>
      <c r="H405" s="151"/>
      <c r="I405" s="165">
        <f>+I402*5%</f>
        <v>9093526.3687421996</v>
      </c>
      <c r="J405" s="164">
        <f>I405/100000</f>
        <v>90.935263687421994</v>
      </c>
    </row>
    <row r="406" spans="1:10" x14ac:dyDescent="0.2">
      <c r="A406" s="151"/>
      <c r="B406" s="151"/>
      <c r="C406" s="202"/>
      <c r="D406" s="132"/>
      <c r="E406" s="191"/>
      <c r="F406" s="191"/>
      <c r="G406" s="151"/>
      <c r="H406" s="151"/>
      <c r="I406" s="151"/>
      <c r="J406" s="165"/>
    </row>
    <row r="407" spans="1:10" x14ac:dyDescent="0.2">
      <c r="A407" s="151"/>
      <c r="B407" s="151"/>
      <c r="C407" s="202"/>
      <c r="D407" s="210" t="s">
        <v>676</v>
      </c>
      <c r="E407" s="212"/>
      <c r="F407" s="212"/>
      <c r="G407" s="212"/>
      <c r="H407" s="212"/>
      <c r="I407" s="208">
        <f>SUM(I402:I406)</f>
        <v>190964053.74358618</v>
      </c>
      <c r="J407" s="213">
        <f>SUM(J401:J406)</f>
        <v>1909.6405374358619</v>
      </c>
    </row>
    <row r="408" spans="1:10" x14ac:dyDescent="0.2">
      <c r="A408" s="140"/>
      <c r="B408" s="140" t="s">
        <v>57</v>
      </c>
      <c r="C408" s="202"/>
      <c r="D408" s="214"/>
      <c r="E408" s="160"/>
      <c r="F408" s="140"/>
      <c r="G408" s="140"/>
      <c r="H408" s="140"/>
      <c r="I408" s="140"/>
      <c r="J408" s="169"/>
    </row>
    <row r="409" spans="1:10" ht="16.5" customHeight="1" x14ac:dyDescent="0.2">
      <c r="C409" s="205"/>
    </row>
    <row r="410" spans="1:10" x14ac:dyDescent="0.2">
      <c r="D410" s="123"/>
      <c r="E410" s="223"/>
    </row>
    <row r="411" spans="1:10" x14ac:dyDescent="0.2">
      <c r="D411" s="123"/>
      <c r="E411" s="223"/>
    </row>
  </sheetData>
  <mergeCells count="10">
    <mergeCell ref="A1:J1"/>
    <mergeCell ref="K323:M323"/>
    <mergeCell ref="F254:F262"/>
    <mergeCell ref="H254:H262"/>
    <mergeCell ref="I254:I262"/>
    <mergeCell ref="H276:H277"/>
    <mergeCell ref="I276:I277"/>
    <mergeCell ref="G276:G277"/>
    <mergeCell ref="F276:F277"/>
    <mergeCell ref="C2:J2"/>
  </mergeCells>
  <printOptions horizontalCentered="1" gridLines="1"/>
  <pageMargins left="0.19685039370078741" right="0.19685039370078741" top="0.39370078740157483" bottom="0.59055118110236227" header="0.31496062992125984" footer="0.51181102362204722"/>
  <pageSetup paperSize="9" scale="50" orientation="portrait" r:id="rId1"/>
  <headerFooter alignWithMargins="0">
    <oddFooter>Page &amp;P</oddFooter>
  </headerFooter>
  <ignoredErrors>
    <ignoredError sqref="H48 H5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Design criteria</vt:lpstr>
      <vt:lpstr>Sheet1</vt:lpstr>
      <vt:lpstr>civil cost est</vt:lpstr>
      <vt:lpstr>COST EST. - CIVIL</vt:lpstr>
      <vt:lpstr>Summary of Cost Est.</vt:lpstr>
      <vt:lpstr>Civil Cost Est.</vt:lpstr>
      <vt:lpstr>Eqpt. Cost Est.</vt:lpstr>
      <vt:lpstr>'civil cost est'!Print_Area</vt:lpstr>
      <vt:lpstr>'Civil Cost Est.'!Print_Area</vt:lpstr>
      <vt:lpstr>'Design criteria'!Print_Area</vt:lpstr>
      <vt:lpstr>'Eqpt. Cost Est.'!Print_Area</vt:lpstr>
      <vt:lpstr>'Summary of Cost Est.'!Print_Area</vt:lpstr>
      <vt:lpstr>'Civil Cost Est.'!Print_Titles</vt:lpstr>
      <vt:lpstr>'Eqpt. Cost Est.'!Print_Titles</vt:lpstr>
    </vt:vector>
  </TitlesOfParts>
  <Company>nddb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rajaram</dc:creator>
  <cp:lastModifiedBy>Soumya Ranjan Mishra</cp:lastModifiedBy>
  <cp:lastPrinted>2026-05-09T07:04:46Z</cp:lastPrinted>
  <dcterms:created xsi:type="dcterms:W3CDTF">2005-01-13T13:13:26Z</dcterms:created>
  <dcterms:modified xsi:type="dcterms:W3CDTF">2026-09-15T11:55:20Z</dcterms:modified>
</cp:coreProperties>
</file>